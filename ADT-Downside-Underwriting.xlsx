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1"/>
  <workbookPr defaultThemeVersion="166925"/>
  <xr:revisionPtr revIDLastSave="0" documentId="8_{81F1FA26-41D9-497C-9D7B-6788AFB41D92}" xr6:coauthVersionLast="47" xr6:coauthVersionMax="47" xr10:uidLastSave="{00000000-0000-0000-0000-000000000000}"/>
  <bookViews>
    <workbookView xWindow="240" yWindow="105" windowWidth="14805" windowHeight="8010" firstSheet="8" activeTab="9" xr2:uid="{00000000-000D-0000-FFFF-FFFF00000000}"/>
  </bookViews>
  <sheets>
    <sheet name="Inputs" sheetId="1" r:id="rId1"/>
    <sheet name="Historical" sheetId="2" r:id="rId2"/>
    <sheet name="EBITDA Bridge" sheetId="10" r:id="rId3"/>
    <sheet name="Operating Model" sheetId="3" r:id="rId4"/>
    <sheet name="Transaction" sheetId="4" r:id="rId5"/>
    <sheet name="Debt Schedule" sheetId="5" r:id="rId6"/>
    <sheet name="Returns" sheetId="6" r:id="rId7"/>
    <sheet name="Downside" sheetId="7" r:id="rId8"/>
    <sheet name="Dashboard" sheetId="8" r:id="rId9"/>
    <sheet name="Scenario Comparison" sheetId="9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0" i="9" l="1"/>
  <c r="E69" i="9"/>
  <c r="D69" i="9"/>
  <c r="C69" i="9"/>
  <c r="B69" i="9"/>
  <c r="E68" i="9"/>
  <c r="D68" i="9"/>
  <c r="C68" i="9"/>
  <c r="B68" i="9"/>
  <c r="E67" i="9"/>
  <c r="D67" i="9"/>
  <c r="C67" i="9"/>
  <c r="B67" i="9"/>
  <c r="E66" i="9"/>
  <c r="D66" i="9"/>
  <c r="C66" i="9"/>
  <c r="B66" i="9"/>
  <c r="E65" i="9"/>
  <c r="D65" i="9"/>
  <c r="C65" i="9"/>
  <c r="B65" i="9"/>
  <c r="E64" i="9"/>
  <c r="D64" i="9"/>
  <c r="C64" i="9"/>
  <c r="B64" i="9"/>
  <c r="E63" i="9"/>
  <c r="D63" i="9"/>
  <c r="C63" i="9"/>
  <c r="B63" i="9"/>
  <c r="E62" i="9"/>
  <c r="D62" i="9"/>
  <c r="C62" i="9"/>
  <c r="B62" i="9"/>
  <c r="I106" i="8"/>
  <c r="H106" i="8"/>
  <c r="G106" i="8"/>
  <c r="I105" i="8"/>
  <c r="H105" i="8"/>
  <c r="G105" i="8"/>
  <c r="I104" i="8"/>
  <c r="H104" i="8"/>
  <c r="G104" i="8"/>
  <c r="I103" i="8"/>
  <c r="H103" i="8"/>
  <c r="G103" i="8"/>
  <c r="I102" i="8"/>
  <c r="H102" i="8"/>
  <c r="G102" i="8"/>
  <c r="I24" i="8"/>
  <c r="J24" i="8"/>
  <c r="K24" i="8"/>
  <c r="L24" i="8"/>
  <c r="I23" i="8"/>
  <c r="J23" i="8"/>
  <c r="K23" i="8"/>
  <c r="L23" i="8"/>
  <c r="I22" i="8"/>
  <c r="J22" i="8"/>
  <c r="K22" i="8"/>
  <c r="L22" i="8"/>
  <c r="I21" i="8"/>
  <c r="J21" i="8"/>
  <c r="K21" i="8"/>
  <c r="L21" i="8"/>
  <c r="H21" i="8"/>
  <c r="H22" i="8"/>
  <c r="H23" i="8"/>
  <c r="H24" i="8"/>
  <c r="I20" i="8"/>
  <c r="J20" i="8"/>
  <c r="K20" i="8"/>
  <c r="L20" i="8"/>
  <c r="H20" i="8"/>
  <c r="F111" i="8"/>
  <c r="G111" i="8"/>
  <c r="J111" i="8"/>
  <c r="F112" i="8"/>
  <c r="G112" i="8"/>
  <c r="K112" i="8"/>
  <c r="C23" i="1"/>
  <c r="I38" i="1"/>
  <c r="I37" i="1"/>
  <c r="I36" i="1"/>
  <c r="I35" i="1"/>
  <c r="I34" i="1"/>
  <c r="I33" i="1"/>
  <c r="I32" i="1"/>
  <c r="I31" i="1"/>
  <c r="I30" i="1"/>
  <c r="I27" i="1"/>
  <c r="M30" i="9"/>
  <c r="M54" i="9"/>
  <c r="M53" i="9"/>
  <c r="M52" i="9"/>
  <c r="M51" i="9"/>
  <c r="M50" i="9"/>
  <c r="M49" i="9"/>
  <c r="M48" i="9"/>
  <c r="L30" i="9"/>
  <c r="L54" i="9"/>
  <c r="L53" i="9"/>
  <c r="L52" i="9"/>
  <c r="L51" i="9"/>
  <c r="L50" i="9"/>
  <c r="L49" i="9"/>
  <c r="L48" i="9"/>
  <c r="K30" i="9"/>
  <c r="K54" i="9"/>
  <c r="K53" i="9"/>
  <c r="K52" i="9"/>
  <c r="K51" i="9"/>
  <c r="K50" i="9"/>
  <c r="K49" i="9"/>
  <c r="K48" i="9"/>
  <c r="J30" i="9"/>
  <c r="J54" i="9"/>
  <c r="J53" i="9"/>
  <c r="J52" i="9"/>
  <c r="J51" i="9"/>
  <c r="J50" i="9"/>
  <c r="J49" i="9"/>
  <c r="J48" i="9"/>
  <c r="I30" i="9"/>
  <c r="I54" i="9"/>
  <c r="I53" i="9"/>
  <c r="I52" i="9"/>
  <c r="I51" i="9"/>
  <c r="I50" i="9"/>
  <c r="I49" i="9"/>
  <c r="I48" i="9"/>
  <c r="F30" i="9"/>
  <c r="F54" i="9"/>
  <c r="F53" i="9"/>
  <c r="F52" i="9"/>
  <c r="F51" i="9"/>
  <c r="F50" i="9"/>
  <c r="F49" i="9"/>
  <c r="F48" i="9"/>
  <c r="E30" i="9"/>
  <c r="E54" i="9"/>
  <c r="E53" i="9"/>
  <c r="E52" i="9"/>
  <c r="E51" i="9"/>
  <c r="E50" i="9"/>
  <c r="E49" i="9"/>
  <c r="E48" i="9"/>
  <c r="D30" i="9"/>
  <c r="D54" i="9"/>
  <c r="D53" i="9"/>
  <c r="D52" i="9"/>
  <c r="D51" i="9"/>
  <c r="D50" i="9"/>
  <c r="D49" i="9"/>
  <c r="D48" i="9"/>
  <c r="C30" i="9"/>
  <c r="C54" i="9"/>
  <c r="C53" i="9"/>
  <c r="C52" i="9"/>
  <c r="C51" i="9"/>
  <c r="C50" i="9"/>
  <c r="C49" i="9"/>
  <c r="C48" i="9"/>
  <c r="B30" i="9"/>
  <c r="B54" i="9"/>
  <c r="B53" i="9"/>
  <c r="B52" i="9"/>
  <c r="B51" i="9"/>
  <c r="B50" i="9"/>
  <c r="B49" i="9"/>
  <c r="B48" i="9"/>
  <c r="G22" i="3"/>
  <c r="G30" i="3"/>
  <c r="G29" i="3"/>
  <c r="G28" i="3"/>
  <c r="G27" i="3"/>
  <c r="G26" i="3"/>
  <c r="G25" i="3"/>
  <c r="F22" i="3"/>
  <c r="F30" i="3"/>
  <c r="F29" i="3"/>
  <c r="F28" i="3"/>
  <c r="F27" i="3"/>
  <c r="F26" i="3"/>
  <c r="F25" i="3"/>
  <c r="E22" i="3"/>
  <c r="E30" i="3"/>
  <c r="E29" i="3"/>
  <c r="E28" i="3"/>
  <c r="E27" i="3"/>
  <c r="E26" i="3"/>
  <c r="E25" i="3"/>
  <c r="D22" i="3"/>
  <c r="D30" i="3"/>
  <c r="D29" i="3"/>
  <c r="D28" i="3"/>
  <c r="D27" i="3"/>
  <c r="D26" i="3"/>
  <c r="D25" i="3"/>
  <c r="C22" i="3"/>
  <c r="C30" i="3"/>
  <c r="C29" i="3"/>
  <c r="C28" i="3"/>
  <c r="C27" i="3"/>
  <c r="C26" i="3"/>
  <c r="C25" i="3"/>
  <c r="B22" i="3"/>
  <c r="B30" i="3"/>
  <c r="B29" i="3"/>
  <c r="B28" i="3"/>
  <c r="B27" i="3"/>
  <c r="B26" i="3"/>
  <c r="B25" i="3"/>
  <c r="B21" i="3"/>
  <c r="B20" i="3"/>
  <c r="I18" i="1"/>
  <c r="I17" i="1"/>
  <c r="I16" i="1"/>
  <c r="I15" i="1"/>
  <c r="I14" i="1"/>
  <c r="D17" i="1"/>
  <c r="C17" i="1"/>
  <c r="D84" i="2"/>
  <c r="D83" i="2"/>
  <c r="D82" i="2"/>
  <c r="D81" i="2"/>
  <c r="D80" i="2"/>
  <c r="D79" i="2"/>
  <c r="D78" i="2"/>
  <c r="D77" i="2"/>
  <c r="D76" i="2"/>
  <c r="D75" i="2"/>
  <c r="D74" i="2"/>
  <c r="D72" i="2"/>
  <c r="D71" i="2"/>
  <c r="D70" i="2"/>
  <c r="B18" i="10"/>
  <c r="B17" i="10"/>
  <c r="B16" i="10"/>
  <c r="B14" i="10"/>
  <c r="C29" i="8"/>
  <c r="B29" i="8"/>
  <c r="B9" i="9"/>
  <c r="C9" i="9"/>
  <c r="J36" i="9"/>
  <c r="K36" i="9"/>
  <c r="L36" i="9"/>
  <c r="M36" i="9"/>
  <c r="J41" i="9"/>
  <c r="K41" i="9"/>
  <c r="L41" i="9"/>
  <c r="M41" i="9"/>
  <c r="C36" i="9"/>
  <c r="D36" i="9"/>
  <c r="E36" i="9"/>
  <c r="F36" i="9"/>
  <c r="C41" i="9"/>
  <c r="D41" i="9"/>
  <c r="E41" i="9"/>
  <c r="F41" i="9"/>
  <c r="B35" i="9"/>
  <c r="I41" i="9"/>
  <c r="I36" i="9"/>
  <c r="I35" i="9"/>
  <c r="B41" i="9"/>
  <c r="B36" i="9"/>
  <c r="J21" i="9"/>
  <c r="K21" i="9"/>
  <c r="L21" i="9"/>
  <c r="M21" i="9"/>
  <c r="J22" i="9"/>
  <c r="K22" i="9"/>
  <c r="L22" i="9"/>
  <c r="M22" i="9"/>
  <c r="J23" i="9"/>
  <c r="K23" i="9"/>
  <c r="L23" i="9"/>
  <c r="M23" i="9"/>
  <c r="J24" i="9"/>
  <c r="K24" i="9"/>
  <c r="L24" i="9"/>
  <c r="M24" i="9"/>
  <c r="J26" i="9"/>
  <c r="K26" i="9"/>
  <c r="L26" i="9"/>
  <c r="M26" i="9"/>
  <c r="J27" i="9"/>
  <c r="K27" i="9"/>
  <c r="L27" i="9"/>
  <c r="M27" i="9"/>
  <c r="J28" i="9"/>
  <c r="K28" i="9"/>
  <c r="K29" i="9" s="1"/>
  <c r="L28" i="9"/>
  <c r="L29" i="9" s="1"/>
  <c r="M28" i="9"/>
  <c r="M29" i="9" s="1"/>
  <c r="C28" i="9"/>
  <c r="D28" i="9"/>
  <c r="D29" i="9" s="1"/>
  <c r="E28" i="9"/>
  <c r="E29" i="9" s="1"/>
  <c r="F28" i="9"/>
  <c r="F29" i="9" s="1"/>
  <c r="C27" i="9"/>
  <c r="D27" i="9"/>
  <c r="E27" i="9"/>
  <c r="F27" i="9"/>
  <c r="C26" i="9"/>
  <c r="D26" i="9"/>
  <c r="E26" i="9"/>
  <c r="F26" i="9"/>
  <c r="C25" i="9"/>
  <c r="D25" i="9"/>
  <c r="E25" i="9"/>
  <c r="F25" i="9"/>
  <c r="C24" i="9"/>
  <c r="D24" i="9"/>
  <c r="E24" i="9"/>
  <c r="F24" i="9"/>
  <c r="C23" i="9"/>
  <c r="D23" i="9"/>
  <c r="E23" i="9"/>
  <c r="F23" i="9"/>
  <c r="C22" i="9"/>
  <c r="D22" i="9"/>
  <c r="E22" i="9"/>
  <c r="F22" i="9"/>
  <c r="D21" i="9"/>
  <c r="E21" i="9"/>
  <c r="F21" i="9"/>
  <c r="C21" i="9"/>
  <c r="J25" i="9"/>
  <c r="K25" i="9"/>
  <c r="L25" i="9"/>
  <c r="M25" i="9"/>
  <c r="B25" i="9"/>
  <c r="B21" i="9"/>
  <c r="I25" i="9"/>
  <c r="I21" i="9"/>
  <c r="C7" i="9"/>
  <c r="B7" i="9"/>
  <c r="C6" i="9"/>
  <c r="B6" i="9"/>
  <c r="C5" i="9"/>
  <c r="B5" i="9"/>
  <c r="A101" i="8" a="1"/>
  <c r="A101" i="8"/>
  <c r="A105" i="8"/>
  <c r="A104" i="8"/>
  <c r="A103" i="8"/>
  <c r="A102" i="8"/>
  <c r="D9" i="8"/>
  <c r="D12" i="8"/>
  <c r="D11" i="8"/>
  <c r="D8" i="8"/>
  <c r="D7" i="8"/>
  <c r="B4" i="8"/>
  <c r="D13" i="1"/>
  <c r="D37" i="1"/>
  <c r="D14" i="1"/>
  <c r="C20" i="7"/>
  <c r="C19" i="7"/>
  <c r="C18" i="7"/>
  <c r="C17" i="7"/>
  <c r="C9" i="7"/>
  <c r="B9" i="7"/>
  <c r="C8" i="7"/>
  <c r="B8" i="7"/>
  <c r="C7" i="7"/>
  <c r="B7" i="7"/>
  <c r="B4" i="7"/>
  <c r="B13" i="6"/>
  <c r="B10" i="6"/>
  <c r="B7" i="6"/>
  <c r="F16" i="5"/>
  <c r="F11" i="5"/>
  <c r="F7" i="5"/>
  <c r="E16" i="5"/>
  <c r="E11" i="5"/>
  <c r="E7" i="5"/>
  <c r="D16" i="5"/>
  <c r="D11" i="5"/>
  <c r="D7" i="5"/>
  <c r="C16" i="5"/>
  <c r="C11" i="5"/>
  <c r="C7" i="5"/>
  <c r="B16" i="5"/>
  <c r="B11" i="5"/>
  <c r="B7" i="5"/>
  <c r="B18" i="4"/>
  <c r="B10" i="4"/>
  <c r="F16" i="4" s="1"/>
  <c r="B9" i="4"/>
  <c r="B16" i="4" s="1"/>
  <c r="B7" i="4"/>
  <c r="D17" i="3"/>
  <c r="E17" i="3"/>
  <c r="F17" i="3"/>
  <c r="G17" i="3"/>
  <c r="C17" i="3"/>
  <c r="B14" i="3"/>
  <c r="B13" i="3"/>
  <c r="C37" i="1"/>
  <c r="C29" i="1"/>
  <c r="C43" i="2"/>
  <c r="D43" i="2"/>
  <c r="B43" i="2"/>
  <c r="C35" i="2"/>
  <c r="D35" i="2"/>
  <c r="B35" i="2"/>
  <c r="D28" i="2"/>
  <c r="C28" i="2"/>
  <c r="B28" i="2"/>
  <c r="C22" i="2"/>
  <c r="D22" i="2"/>
  <c r="B19" i="3" s="1"/>
  <c r="B22" i="2"/>
  <c r="C15" i="2"/>
  <c r="C42" i="2" s="1"/>
  <c r="D15" i="2"/>
  <c r="B15" i="2"/>
  <c r="B42" i="2" s="1"/>
  <c r="C9" i="2"/>
  <c r="D9" i="2"/>
  <c r="B7" i="3" s="1"/>
  <c r="B9" i="2"/>
  <c r="C10" i="2" s="1"/>
  <c r="I39" i="9" l="1"/>
  <c r="I37" i="9"/>
  <c r="B39" i="9"/>
  <c r="B37" i="9"/>
  <c r="B28" i="9"/>
  <c r="B27" i="9"/>
  <c r="B23" i="9"/>
  <c r="B22" i="9"/>
  <c r="B24" i="9" s="1"/>
  <c r="B26" i="9" s="1"/>
  <c r="I28" i="9"/>
  <c r="I27" i="9"/>
  <c r="I23" i="9"/>
  <c r="I22" i="9"/>
  <c r="I24" i="9" s="1"/>
  <c r="I26" i="9" s="1"/>
  <c r="B8" i="3"/>
  <c r="C7" i="3"/>
  <c r="B101" i="8" s="1" a="1"/>
  <c r="B101" i="8" s="1"/>
  <c r="B11" i="3"/>
  <c r="B6" i="4" s="1"/>
  <c r="D42" i="2"/>
  <c r="C18" i="1"/>
  <c r="B17" i="3"/>
  <c r="B44" i="2"/>
  <c r="D44" i="2"/>
  <c r="C44" i="2"/>
  <c r="B18" i="3"/>
  <c r="C20" i="3"/>
  <c r="C21" i="3" s="1"/>
  <c r="C19" i="3"/>
  <c r="C13" i="3"/>
  <c r="C11" i="3"/>
  <c r="C101" i="8" s="1" a="1"/>
  <c r="C101" i="8" s="1"/>
  <c r="C8" i="3"/>
  <c r="D7" i="3"/>
  <c r="B102" i="8" s="1" a="1"/>
  <c r="B102" i="8" s="1"/>
  <c r="C15" i="1"/>
  <c r="D10" i="2"/>
  <c r="C13" i="1" s="1"/>
  <c r="B16" i="2"/>
  <c r="D16" i="2"/>
  <c r="C16" i="2"/>
  <c r="B23" i="2"/>
  <c r="D23" i="2"/>
  <c r="C16" i="1" s="1"/>
  <c r="C23" i="2"/>
  <c r="B36" i="2"/>
  <c r="D37" i="2"/>
  <c r="D36" i="2"/>
  <c r="C37" i="2"/>
  <c r="C36" i="2"/>
  <c r="I29" i="9" l="1"/>
  <c r="J29" i="9"/>
  <c r="B29" i="9"/>
  <c r="C29" i="9"/>
  <c r="B38" i="9"/>
  <c r="I38" i="9"/>
  <c r="I44" i="9"/>
  <c r="I40" i="9"/>
  <c r="I42" i="9" s="1"/>
  <c r="B44" i="9"/>
  <c r="B40" i="9"/>
  <c r="B42" i="9"/>
  <c r="C14" i="1"/>
  <c r="B12" i="3"/>
  <c r="C33" i="1"/>
  <c r="C28" i="1"/>
  <c r="F15" i="4"/>
  <c r="B8" i="4"/>
  <c r="D20" i="3"/>
  <c r="D21" i="3" s="1"/>
  <c r="D19" i="3"/>
  <c r="D13" i="3"/>
  <c r="D11" i="3"/>
  <c r="C102" i="8" s="1" a="1"/>
  <c r="C102" i="8" s="1"/>
  <c r="D8" i="3"/>
  <c r="E7" i="3"/>
  <c r="B103" i="8" s="1" a="1"/>
  <c r="B103" i="8" s="1"/>
  <c r="B21" i="5"/>
  <c r="C14" i="3"/>
  <c r="C18" i="3" s="1"/>
  <c r="B10" i="5" s="1"/>
  <c r="C12" i="3"/>
  <c r="I43" i="9" l="1"/>
  <c r="B43" i="9"/>
  <c r="B16" i="8"/>
  <c r="B17" i="4"/>
  <c r="B11" i="4"/>
  <c r="B15" i="4" s="1"/>
  <c r="B19" i="4" s="1"/>
  <c r="F17" i="4" s="1"/>
  <c r="B6" i="5"/>
  <c r="F19" i="4"/>
  <c r="B21" i="4" s="1"/>
  <c r="B20" i="8" s="1"/>
  <c r="E20" i="3"/>
  <c r="E21" i="3" s="1"/>
  <c r="E19" i="3"/>
  <c r="E13" i="3"/>
  <c r="E11" i="3"/>
  <c r="C103" i="8" s="1" a="1"/>
  <c r="C103" i="8" s="1"/>
  <c r="E8" i="3"/>
  <c r="F7" i="3"/>
  <c r="B104" i="8" s="1" a="1"/>
  <c r="B104" i="8" s="1"/>
  <c r="C21" i="5"/>
  <c r="D14" i="3"/>
  <c r="D18" i="3" s="1"/>
  <c r="C10" i="5" s="1"/>
  <c r="D12" i="3"/>
  <c r="I45" i="9" l="1"/>
  <c r="J35" i="9"/>
  <c r="B45" i="9"/>
  <c r="C35" i="9"/>
  <c r="B8" i="5"/>
  <c r="B12" i="5" s="1"/>
  <c r="B14" i="5"/>
  <c r="B15" i="8"/>
  <c r="B6" i="6"/>
  <c r="B13" i="7" s="1"/>
  <c r="F20" i="3"/>
  <c r="F21" i="3" s="1"/>
  <c r="F19" i="3"/>
  <c r="F13" i="3"/>
  <c r="F11" i="3"/>
  <c r="C104" i="8" s="1" a="1"/>
  <c r="C104" i="8" s="1"/>
  <c r="F8" i="3"/>
  <c r="G7" i="3"/>
  <c r="B105" i="8" s="1" a="1"/>
  <c r="B105" i="8" s="1"/>
  <c r="D21" i="5"/>
  <c r="E14" i="3"/>
  <c r="E18" i="3" s="1"/>
  <c r="D10" i="5" s="1"/>
  <c r="E12" i="3"/>
  <c r="C37" i="9" l="1"/>
  <c r="C38" i="9" s="1"/>
  <c r="C39" i="9"/>
  <c r="J37" i="9"/>
  <c r="J38" i="9" s="1"/>
  <c r="J39" i="9"/>
  <c r="B23" i="5"/>
  <c r="B15" i="5"/>
  <c r="B17" i="5" s="1"/>
  <c r="G20" i="3"/>
  <c r="G21" i="3" s="1"/>
  <c r="G19" i="3"/>
  <c r="G13" i="3"/>
  <c r="G11" i="3"/>
  <c r="C105" i="8" s="1" a="1"/>
  <c r="C105" i="8" s="1"/>
  <c r="G8" i="3"/>
  <c r="E21" i="5"/>
  <c r="F14" i="3"/>
  <c r="F18" i="3" s="1"/>
  <c r="E10" i="5" s="1"/>
  <c r="F12" i="3"/>
  <c r="C40" i="9" l="1"/>
  <c r="C42" i="9" s="1"/>
  <c r="C44" i="9"/>
  <c r="J40" i="9"/>
  <c r="J42" i="9" s="1"/>
  <c r="J44" i="9"/>
  <c r="B19" i="5"/>
  <c r="B28" i="5"/>
  <c r="B27" i="5"/>
  <c r="B9" i="6"/>
  <c r="F21" i="5"/>
  <c r="G14" i="3"/>
  <c r="G18" i="3" s="1"/>
  <c r="F10" i="5" s="1"/>
  <c r="G12" i="3"/>
  <c r="C43" i="9" l="1"/>
  <c r="D35" i="9" s="1"/>
  <c r="C45" i="9"/>
  <c r="J43" i="9"/>
  <c r="K35" i="9" s="1"/>
  <c r="J45" i="9"/>
  <c r="C6" i="5"/>
  <c r="B22" i="5"/>
  <c r="B14" i="7"/>
  <c r="B11" i="6"/>
  <c r="D37" i="9" l="1"/>
  <c r="D38" i="9" s="1"/>
  <c r="D39" i="9"/>
  <c r="K37" i="9"/>
  <c r="K38" i="9" s="1"/>
  <c r="K39" i="9"/>
  <c r="C14" i="5"/>
  <c r="C8" i="5"/>
  <c r="C12" i="5" s="1"/>
  <c r="D40" i="9" l="1"/>
  <c r="D42" i="9" s="1"/>
  <c r="D44" i="9"/>
  <c r="K40" i="9"/>
  <c r="K42" i="9" s="1"/>
  <c r="K44" i="9"/>
  <c r="C15" i="5"/>
  <c r="C17" i="5" s="1"/>
  <c r="C19" i="5" s="1"/>
  <c r="C23" i="5"/>
  <c r="C28" i="5"/>
  <c r="C27" i="5"/>
  <c r="D43" i="9" l="1"/>
  <c r="E35" i="9" s="1"/>
  <c r="D45" i="9"/>
  <c r="K43" i="9"/>
  <c r="L35" i="9" s="1"/>
  <c r="K45" i="9"/>
  <c r="D6" i="5"/>
  <c r="C22" i="5"/>
  <c r="E37" i="9" l="1"/>
  <c r="E38" i="9" s="1"/>
  <c r="E39" i="9"/>
  <c r="L37" i="9"/>
  <c r="L38" i="9" s="1"/>
  <c r="L39" i="9"/>
  <c r="D8" i="5"/>
  <c r="D12" i="5" s="1"/>
  <c r="D14" i="5"/>
  <c r="E40" i="9" l="1"/>
  <c r="E42" i="9" s="1"/>
  <c r="E44" i="9"/>
  <c r="L40" i="9"/>
  <c r="L42" i="9" s="1"/>
  <c r="L44" i="9"/>
  <c r="D15" i="5"/>
  <c r="D17" i="5" s="1"/>
  <c r="D23" i="5"/>
  <c r="E43" i="9" l="1"/>
  <c r="F35" i="9" s="1"/>
  <c r="E45" i="9"/>
  <c r="L43" i="9"/>
  <c r="M35" i="9" s="1"/>
  <c r="L45" i="9"/>
  <c r="D19" i="5"/>
  <c r="D28" i="5"/>
  <c r="D27" i="5"/>
  <c r="F37" i="9" l="1"/>
  <c r="F38" i="9" s="1"/>
  <c r="F39" i="9"/>
  <c r="M37" i="9"/>
  <c r="M38" i="9" s="1"/>
  <c r="M39" i="9"/>
  <c r="D22" i="5"/>
  <c r="E6" i="5"/>
  <c r="F40" i="9" l="1"/>
  <c r="F42" i="9" s="1"/>
  <c r="F44" i="9"/>
  <c r="B14" i="9" s="1"/>
  <c r="B34" i="8" s="1"/>
  <c r="M40" i="9"/>
  <c r="M42" i="9" s="1"/>
  <c r="M44" i="9"/>
  <c r="C14" i="9" s="1"/>
  <c r="C34" i="8" s="1"/>
  <c r="E14" i="5"/>
  <c r="E8" i="5"/>
  <c r="E12" i="5" s="1"/>
  <c r="F43" i="9" l="1"/>
  <c r="B10" i="9" s="1"/>
  <c r="F45" i="9"/>
  <c r="M43" i="9"/>
  <c r="C10" i="9" s="1"/>
  <c r="M45" i="9"/>
  <c r="E15" i="5"/>
  <c r="E17" i="5" s="1"/>
  <c r="E19" i="5" s="1"/>
  <c r="E23" i="5"/>
  <c r="E28" i="5"/>
  <c r="E27" i="5"/>
  <c r="C11" i="9" l="1"/>
  <c r="C30" i="8"/>
  <c r="B30" i="8"/>
  <c r="B11" i="9"/>
  <c r="F6" i="5"/>
  <c r="E22" i="5"/>
  <c r="B12" i="9" l="1"/>
  <c r="B31" i="8"/>
  <c r="C12" i="9"/>
  <c r="C31" i="8"/>
  <c r="F8" i="5"/>
  <c r="F12" i="5" s="1"/>
  <c r="F14" i="5"/>
  <c r="C13" i="9" l="1"/>
  <c r="C33" i="8" s="1"/>
  <c r="C32" i="8"/>
  <c r="B13" i="9"/>
  <c r="B33" i="8" s="1"/>
  <c r="B32" i="8"/>
  <c r="F15" i="5"/>
  <c r="F17" i="5" s="1"/>
  <c r="F23" i="5"/>
  <c r="B19" i="7" s="1"/>
  <c r="B11" i="8" l="1"/>
  <c r="D19" i="7"/>
  <c r="F19" i="5"/>
  <c r="F28" i="5"/>
  <c r="F27" i="5"/>
  <c r="B21" i="8" s="1"/>
  <c r="B12" i="6" l="1"/>
  <c r="F22" i="5"/>
  <c r="B20" i="7" s="1"/>
  <c r="B12" i="8" l="1"/>
  <c r="D20" i="7"/>
  <c r="B17" i="8"/>
  <c r="B15" i="7"/>
  <c r="B14" i="6"/>
  <c r="B16" i="7" l="1"/>
  <c r="B17" i="6"/>
  <c r="B7" i="8" l="1"/>
  <c r="B17" i="7"/>
  <c r="D17" i="7" s="1"/>
  <c r="B18" i="6"/>
  <c r="B18" i="7" l="1"/>
  <c r="D18" i="7" s="1"/>
  <c r="B8" i="8"/>
  <c r="B2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<sst xmlns="http://schemas.openxmlformats.org/spreadsheetml/2006/main" count="605" uniqueCount="385">
  <si>
    <t>Downside — Model Inputs</t>
  </si>
  <si>
    <t>Scenario Assumptions</t>
  </si>
  <si>
    <t>Company &amp; Model Setup</t>
  </si>
  <si>
    <t>Variable</t>
  </si>
  <si>
    <t>Historical/Market Reference</t>
  </si>
  <si>
    <t>Active Assumption</t>
  </si>
  <si>
    <t>Unit</t>
  </si>
  <si>
    <t>Rationale</t>
  </si>
  <si>
    <t>Case Selected</t>
  </si>
  <si>
    <t>Downside</t>
  </si>
  <si>
    <t>Company Name</t>
  </si>
  <si>
    <t>ADT Inc.</t>
  </si>
  <si>
    <t>Text</t>
  </si>
  <si>
    <t>Company Under Analysis</t>
  </si>
  <si>
    <t>Ticker</t>
  </si>
  <si>
    <t>ADT</t>
  </si>
  <si>
    <t>Public Stock Ticker</t>
  </si>
  <si>
    <t>Industry</t>
  </si>
  <si>
    <t>Security &amp; Monitoring Services</t>
  </si>
  <si>
    <t>Provides security monitoring, installation, and related services</t>
  </si>
  <si>
    <t>Last Historical Year</t>
  </si>
  <si>
    <t>Year</t>
  </si>
  <si>
    <t>Most recent completed fiscal year</t>
  </si>
  <si>
    <t>Driver</t>
  </si>
  <si>
    <t>Base</t>
  </si>
  <si>
    <t>Forecast Period</t>
  </si>
  <si>
    <t>Years</t>
  </si>
  <si>
    <t>Number of future years projected</t>
  </si>
  <si>
    <t>Revenue Growth</t>
  </si>
  <si>
    <t>Currency</t>
  </si>
  <si>
    <t>USD</t>
  </si>
  <si>
    <t>Currency used throughout the model</t>
  </si>
  <si>
    <t>Calc. EBITDA Margin</t>
  </si>
  <si>
    <t>Exit EV / EBITDA</t>
  </si>
  <si>
    <t>Operating Assumptions</t>
  </si>
  <si>
    <t>% Year</t>
  </si>
  <si>
    <t>Underwriting assumptions: Base 5% growth, Downside 2%; historical reference is recent average growth.</t>
  </si>
  <si>
    <t>Subscriber cash assumptions</t>
  </si>
  <si>
    <t>% Revenue</t>
  </si>
  <si>
    <t>Calculated EBITDA Margin</t>
  </si>
  <si>
    <t>Operating income + D&amp;A; Base 52%, Downside 48%. Reported Adjusted EBITDA is reconciled separately.</t>
  </si>
  <si>
    <t>Dealer purchases</t>
  </si>
  <si>
    <t>D&amp;A as % of Revenue</t>
  </si>
  <si>
    <t>Near 2025A level; recent D&amp;A intensity has been declining</t>
  </si>
  <si>
    <t>Cost amortization</t>
  </si>
  <si>
    <t>Capex as % of Revenue</t>
  </si>
  <si>
    <t>Slightly above 2025A to avoid assuming continued capex compression</t>
  </si>
  <si>
    <t>Revenue amortization</t>
  </si>
  <si>
    <t>Operating NWC as % of Revenue</t>
  </si>
  <si>
    <t>AR + inventory - AP, calibrated to 2025. Deferred subscriber cash flows modeled separately.</t>
  </si>
  <si>
    <t>Deferred cash costs</t>
  </si>
  <si>
    <t>Tax Rate</t>
  </si>
  <si>
    <t>%</t>
  </si>
  <si>
    <t>Near 2025A rate and recent historical range</t>
  </si>
  <si>
    <t>Deferred cash receipts</t>
  </si>
  <si>
    <t>Transaction Assumptions</t>
  </si>
  <si>
    <t>Basis: 2025 intensity</t>
  </si>
  <si>
    <t>Valuation Date</t>
  </si>
  <si>
    <t>–</t>
  </si>
  <si>
    <t>Date</t>
  </si>
  <si>
    <t>Retrospective 12/31/2025 analysis using FY2025 10-K filed 03/02/2026; not information available at entry.</t>
  </si>
  <si>
    <t>Same rates in both cases</t>
  </si>
  <si>
    <t>Reference Share Price</t>
  </si>
  <si>
    <t>$ / Share</t>
  </si>
  <si>
    <t>12/31/2025 close $8.07; Trading 212, corroborated by ChartExchange. Links at H41:H42.</t>
  </si>
  <si>
    <t>EV / EBITDA</t>
  </si>
  <si>
    <t>x EBITDA</t>
  </si>
  <si>
    <t>Market reference calculated at H26:I38; excludes finance leases/dilution. Entry 5.5x is a model assumption.</t>
  </si>
  <si>
    <t>EBITDA: income + D&amp;A</t>
  </si>
  <si>
    <t>Transaction Fees</t>
  </si>
  <si>
    <t>% EV</t>
  </si>
  <si>
    <t>Model assumption: transaction fees equal 2% of enterprise value.</t>
  </si>
  <si>
    <t>Multiples are assumptions</t>
  </si>
  <si>
    <t>Minimum Cash</t>
  </si>
  <si>
    <t>$M</t>
  </si>
  <si>
    <t>Model assumption: $100M operating cash buffer; historical cash is $80.817M.</t>
  </si>
  <si>
    <t>Market Reference Build</t>
  </si>
  <si>
    <t>Debt Assumptions</t>
  </si>
  <si>
    <t>Share price</t>
  </si>
  <si>
    <t>Entry Leverage</t>
  </si>
  <si>
    <t>Higher leverage than current capital structure to reflect hypothetical sponsor financing</t>
  </si>
  <si>
    <t>Common shares (M)</t>
  </si>
  <si>
    <t>Blended Interest Rate</t>
  </si>
  <si>
    <t>% / Year</t>
  </si>
  <si>
    <t>Model assumption: 7% financing cost. Historical ratio is cash interest / average debt, not a quoted borrowing rate.</t>
  </si>
  <si>
    <t>Class B shares (M)</t>
  </si>
  <si>
    <t>Annual Mandatory Amortization</t>
  </si>
  <si>
    <t>% Initial Debt</t>
  </si>
  <si>
    <t>Model assumption: annual amortization of 1% of initial acquisition debt.</t>
  </si>
  <si>
    <t>Total shares (M)</t>
  </si>
  <si>
    <t>Excess Cash Sweep</t>
  </si>
  <si>
    <t>% Excess Cash</t>
  </si>
  <si>
    <t>Model assumption: 100% of excess cash swept to debt repayment.</t>
  </si>
  <si>
    <t>Equity value ($M)</t>
  </si>
  <si>
    <t>Minimum DSCR</t>
  </si>
  <si>
    <t>x</t>
  </si>
  <si>
    <t>Internal underwriting warning threshold</t>
  </si>
  <si>
    <t>Debt principal ($M)</t>
  </si>
  <si>
    <t>Maximum Debt / EBITDA</t>
  </si>
  <si>
    <t>Internal leverage warning threshold</t>
  </si>
  <si>
    <t>Cash ($M)</t>
  </si>
  <si>
    <t>Enterprise value ($M)</t>
  </si>
  <si>
    <t>Exit and Return Assumptions</t>
  </si>
  <si>
    <t>Calculated EBITDA</t>
  </si>
  <si>
    <t>Holding Period</t>
  </si>
  <si>
    <t>N/A</t>
  </si>
  <si>
    <t>Standard five-year sponsor holding period for base case</t>
  </si>
  <si>
    <t>EV / calc. EBITDA</t>
  </si>
  <si>
    <t>Model assumptions: Base 5.5x, Downside 4.5x on calculated EBITDA.</t>
  </si>
  <si>
    <t>Adjusted EBITDA</t>
  </si>
  <si>
    <t>Target IRR</t>
  </si>
  <si>
    <t>Target annualized equity return for base-case underwriting</t>
  </si>
  <si>
    <t>EV / adj. EBITDA</t>
  </si>
  <si>
    <t>Minimum Acceptable IRR</t>
  </si>
  <si>
    <t>Downside threshold used to identify unacceptable equity returns</t>
  </si>
  <si>
    <t>Target MOIC</t>
  </si>
  <si>
    <t>Reference equity multiple target</t>
  </si>
  <si>
    <t>Market sources and scope</t>
  </si>
  <si>
    <t>https://www.trading212.com/trading-instruments/invest/ADT.US</t>
  </si>
  <si>
    <t>https://chartexchange.com/symbol/nyse-adt/historical/</t>
  </si>
  <si>
    <t>https://www.sec.gov/Archives/edgar/data/1703056/000170305626000022/adt-20251231.htm</t>
  </si>
  <si>
    <t>10-K: year-end shares F-4; debt principal excludes finance leases, Note 7.</t>
  </si>
  <si>
    <t>Class B valued at same price; basic shares include Class B, exclude unvested awards.</t>
  </si>
  <si>
    <t>Reference EV excludes $47.765M finance leases; calculated EBITDA basis matches model.</t>
  </si>
  <si>
    <t>Not a fully diluted acquisition valuation. Entry/exit multiples and debt terms are assumptions.</t>
  </si>
  <si>
    <t>10-K filed 03/02/2026. This project uses hindsight for a hypothetical 12/31/2025 entry.</t>
  </si>
  <si>
    <t>Class B equal economic rights: ADT certificate of incorporation, Exhibit 3.1.</t>
  </si>
  <si>
    <t>https://www.sec.gov/Archives/edgar/data/1703056/000119312520248089/d57848dex31.htm</t>
  </si>
  <si>
    <t>https://www.sec.gov/Archives/edgar/data/1703056/000170305626000022/0001703056-26-000022-index.htm</t>
  </si>
  <si>
    <t>ADT — Historical Financials</t>
  </si>
  <si>
    <t>Metric</t>
  </si>
  <si>
    <t>2023A</t>
  </si>
  <si>
    <t>2024A</t>
  </si>
  <si>
    <t>2025A</t>
  </si>
  <si>
    <t>Notes</t>
  </si>
  <si>
    <t>Revenue</t>
  </si>
  <si>
    <t>Monitoring &amp; Related Services</t>
  </si>
  <si>
    <t>$M; source: ADT 2025 10-K</t>
  </si>
  <si>
    <t>Security Installation, Product &amp; Other</t>
  </si>
  <si>
    <t>Total Revenue</t>
  </si>
  <si>
    <t>Year-over-year growth in total revenue</t>
  </si>
  <si>
    <t>Profitability</t>
  </si>
  <si>
    <t>Operating Income</t>
  </si>
  <si>
    <t>Depreciation &amp; Amortization</t>
  </si>
  <si>
    <t>EBITDA (calculated)</t>
  </si>
  <si>
    <t>Operating income + D&amp;A; differs from reported Adjusted EBITDA</t>
  </si>
  <si>
    <t>EBITDA Margin</t>
  </si>
  <si>
    <t>EBITDA divided by total revenue</t>
  </si>
  <si>
    <t>Cash Flow &amp; Reinvestment</t>
  </si>
  <si>
    <t>Net Cash from Operating Activities</t>
  </si>
  <si>
    <t>Consolidated CFO, including discontinued operations; FY2025 10-K F-8.</t>
  </si>
  <si>
    <t>Subscriber System Asset Expenditures</t>
  </si>
  <si>
    <t>Purchases of Property and Equipment</t>
  </si>
  <si>
    <t>Consolidated PP&amp;E spending; older years include discontinued operations.</t>
  </si>
  <si>
    <t>Total Capex</t>
  </si>
  <si>
    <t>Subscriber Systems + PP&amp;E</t>
  </si>
  <si>
    <t>Total capex divided by revenue</t>
  </si>
  <si>
    <t>Taxes</t>
  </si>
  <si>
    <t>Income Before Taxes</t>
  </si>
  <si>
    <t>Income Tax Expense</t>
  </si>
  <si>
    <t>Effective Tax Rate</t>
  </si>
  <si>
    <t>Working Capital</t>
  </si>
  <si>
    <t>Accounts Receivable</t>
  </si>
  <si>
    <t>FY2025 10-K for 2025/2024; FY2024 10-K for 2023 balance sheet.</t>
  </si>
  <si>
    <t>Inventory</t>
  </si>
  <si>
    <t>Accounts Payable</t>
  </si>
  <si>
    <t>Deferred Revenue</t>
  </si>
  <si>
    <t>Current deferred revenue; FY2025/FY2024 10-K balance sheets.</t>
  </si>
  <si>
    <t>Operating NWC</t>
  </si>
  <si>
    <t>Operating NWC as % of Revenue-</t>
  </si>
  <si>
    <t>Change in Operating NWC</t>
  </si>
  <si>
    <t>Capital Structures</t>
  </si>
  <si>
    <t>Cash &amp; Cash Equivalents</t>
  </si>
  <si>
    <t>Cash excludes restricted cash; FY2025/FY2024 10-K balance sheets.</t>
  </si>
  <si>
    <t>Total Debt Principal</t>
  </si>
  <si>
    <t>Debt principal excludes finance leases; FY2025/FY2024 10-K, Note 7.</t>
  </si>
  <si>
    <t>Gross Debt / EBITDA</t>
  </si>
  <si>
    <t>Total debt principal / EBITDA</t>
  </si>
  <si>
    <t>Net Debt</t>
  </si>
  <si>
    <t>Debt less cash</t>
  </si>
  <si>
    <t>Net Debt / EBITDA</t>
  </si>
  <si>
    <t>Net debt / EBITDA</t>
  </si>
  <si>
    <t>Cash Interest Paid</t>
  </si>
  <si>
    <t>Net cash interest includes leases/swaps; FY2025 10-K supplementary cash flows.</t>
  </si>
  <si>
    <t>2025 Cash Flow Reconciliation</t>
  </si>
  <si>
    <t>2025A ($M)</t>
  </si>
  <si>
    <t>Source: ADT 2025 10-K, F-8; consolidated cash flows</t>
  </si>
  <si>
    <t>Net income</t>
  </si>
  <si>
    <t>Cash flow D&amp;A</t>
  </si>
  <si>
    <t>Deferred acquisition cost amortization</t>
  </si>
  <si>
    <t>Deferred acquisition revenue amortization</t>
  </si>
  <si>
    <t>Share-based compensation</t>
  </si>
  <si>
    <t>Deferred income taxes</t>
  </si>
  <si>
    <t>Receivable and inventory loss provision</t>
  </si>
  <si>
    <t>Loss on extinguishment of debt</t>
  </si>
  <si>
    <t>Asset impairments</t>
  </si>
  <si>
    <t>Gain/loss on business sales</t>
  </si>
  <si>
    <t>Unrealized swap loss</t>
  </si>
  <si>
    <t>Other noncash items</t>
  </si>
  <si>
    <t>Receivable cash movement</t>
  </si>
  <si>
    <t>Retail installment collections</t>
  </si>
  <si>
    <t>Other asset cash movement</t>
  </si>
  <si>
    <t>Payable cash movement</t>
  </si>
  <si>
    <t>Accrued interest cash movement</t>
  </si>
  <si>
    <t>Other liability cash movement</t>
  </si>
  <si>
    <t>Cash paid for deferred acquisition costs</t>
  </si>
  <si>
    <t>Cash received as deferred acquisition revenue</t>
  </si>
  <si>
    <t>Other operating cash movement</t>
  </si>
  <si>
    <t>Reconciled operating cash flow</t>
  </si>
  <si>
    <t>Reported operating cash flow</t>
  </si>
  <si>
    <t>Operating cash flow check</t>
  </si>
  <si>
    <t>Dealer-account purchases</t>
  </si>
  <si>
    <t>Subscriber system spending</t>
  </si>
  <si>
    <t>Property and equipment spending</t>
  </si>
  <si>
    <t>Cash after reinvestment and interest</t>
  </si>
  <si>
    <t>Net deferred acquisition adjustment</t>
  </si>
  <si>
    <t>Noncash amortization reversed; actual subscriber cash costs/receipts substituted.</t>
  </si>
  <si>
    <t>Dealer purchases / revenue</t>
  </si>
  <si>
    <t>Cost amortization / revenue</t>
  </si>
  <si>
    <t>Revenue amortization / revenue</t>
  </si>
  <si>
    <t>Deferred cash costs / revenue</t>
  </si>
  <si>
    <t>Deferred cash receipts / revenue</t>
  </si>
  <si>
    <t>Trade NWC excluding deferred revenue</t>
  </si>
  <si>
    <t>AR + inventory - AP; subscriber deferred revenue modeled separately.</t>
  </si>
  <si>
    <t>Trade NWC / revenue</t>
  </si>
  <si>
    <t>Historical source links</t>
  </si>
  <si>
    <t>https://www.sec.gov/Archives/edgar/data/1703056/000170305625000022/adt-20241231.htm</t>
  </si>
  <si>
    <t>Statements in $000 converted to $M by dividing by 1,000; shares separately in millions.</t>
  </si>
  <si>
    <t>ADT — EBITDA Reconciliation</t>
  </si>
  <si>
    <t>Income from continuing operations</t>
  </si>
  <si>
    <t>Interest expense, net</t>
  </si>
  <si>
    <t>Income tax expense</t>
  </si>
  <si>
    <t>Depreciation and intangible asset amortization</t>
  </si>
  <si>
    <t>Deferred subscriber acquisition cost amortization</t>
  </si>
  <si>
    <t>Deferred subscriber acquisition revenue amortization</t>
  </si>
  <si>
    <t>Merger, restructuring, integration and other</t>
  </si>
  <si>
    <t>Goodwill impairment</t>
  </si>
  <si>
    <t>Unrealized loss on interest rate swaps</t>
  </si>
  <si>
    <t>Other adjustments, net</t>
  </si>
  <si>
    <t>Reconciled Adjusted EBITDA</t>
  </si>
  <si>
    <t>Reported Adjusted EBITDA</t>
  </si>
  <si>
    <t>Reconciliation check</t>
  </si>
  <si>
    <t>Our calculated EBITDA</t>
  </si>
  <si>
    <t>Difference from our calculated EBITDA</t>
  </si>
  <si>
    <t>Source: ADT 2025 Form 10-K, Non-GAAP Measures, p.60.</t>
  </si>
  <si>
    <t>Model basis: calculated EBITDA for valuation and leverage.</t>
  </si>
  <si>
    <t>Reported Adjusted EBITDA is shown for reconciliation.</t>
  </si>
  <si>
    <t>ADT - Operating Model</t>
  </si>
  <si>
    <t>2026E</t>
  </si>
  <si>
    <t>2027E</t>
  </si>
  <si>
    <t>2028E</t>
  </si>
  <si>
    <t>2029E</t>
  </si>
  <si>
    <t>2030E</t>
  </si>
  <si>
    <t>D&amp;A</t>
  </si>
  <si>
    <t>EBIT</t>
  </si>
  <si>
    <t>Reinvestment &amp; Unlevered Cash Flow</t>
  </si>
  <si>
    <t>NOPAT</t>
  </si>
  <si>
    <t>System and equipment capex</t>
  </si>
  <si>
    <t>Trade NWC (excl. deferred revenue)</t>
  </si>
  <si>
    <t>Unlevered Free Cash Flow</t>
  </si>
  <si>
    <t>Subscriber Cash Flow Adjustments</t>
  </si>
  <si>
    <t>Cost amortization add-back</t>
  </si>
  <si>
    <t>Revenue amortization removal</t>
  </si>
  <si>
    <t>Deferred acquisition cash costs</t>
  </si>
  <si>
    <t>Deferred acquisition cash receipts</t>
  </si>
  <si>
    <t>Subscriber rates follow 2025 revenue intensity; trade NWC excludes deferred revenue.</t>
  </si>
  <si>
    <t>Cash tax and other working-capital items remain simplified; historical UFCF is modeled, not reported.</t>
  </si>
  <si>
    <t xml:space="preserve"> </t>
  </si>
  <si>
    <t>ADT — Transaction Overview</t>
  </si>
  <si>
    <t>Entry Valuation</t>
  </si>
  <si>
    <t>Value</t>
  </si>
  <si>
    <t>2025A Calculated EBITDA</t>
  </si>
  <si>
    <t>Operating income + D&amp;A; entry leverage and EV use this definition.</t>
  </si>
  <si>
    <t>Entry EV / EBITDA</t>
  </si>
  <si>
    <t>Underwriting multiple on calculated EBITDA.</t>
  </si>
  <si>
    <t>Entry Enterprise Value</t>
  </si>
  <si>
    <t>2025A EBITDA x entry multiple</t>
  </si>
  <si>
    <t>Existing Debt</t>
  </si>
  <si>
    <t>Existing debt refinanced at closing</t>
  </si>
  <si>
    <t>Existing cash available at closing</t>
  </si>
  <si>
    <t>Implied Equity Purchase Price</t>
  </si>
  <si>
    <t>Enterprise value − debt + cash</t>
  </si>
  <si>
    <t>Uses</t>
  </si>
  <si>
    <t>Sources</t>
  </si>
  <si>
    <t>Use</t>
  </si>
  <si>
    <t>Amount ($M)</t>
  </si>
  <si>
    <t>Source</t>
  </si>
  <si>
    <t>Purchase Equity Value</t>
  </si>
  <si>
    <t>New Debt</t>
  </si>
  <si>
    <t>Refinance Existing Debt</t>
  </si>
  <si>
    <t>Target Cash</t>
  </si>
  <si>
    <t>Sponsor Equity</t>
  </si>
  <si>
    <t>Total Uses</t>
  </si>
  <si>
    <t>Total Sources</t>
  </si>
  <si>
    <t>Sources − Uses Check</t>
  </si>
  <si>
    <t>ADT — Debt Schedule</t>
  </si>
  <si>
    <t>Beginning Debt</t>
  </si>
  <si>
    <t>Interest Rate</t>
  </si>
  <si>
    <t>Cash Interest Expense</t>
  </si>
  <si>
    <t>Cash Flow After Interest</t>
  </si>
  <si>
    <t>Mandatory Amortization</t>
  </si>
  <si>
    <t>Cash Available for Sweep</t>
  </si>
  <si>
    <t>Cash Sweep %</t>
  </si>
  <si>
    <t>Optional Debt Repayment</t>
  </si>
  <si>
    <t>Ending Debt</t>
  </si>
  <si>
    <t>Debt / EBITDA</t>
  </si>
  <si>
    <t>DSCR</t>
  </si>
  <si>
    <t>Interest uses beginning debt; cash flow includes the interest tax shield.</t>
  </si>
  <si>
    <t>Debt Roll-forward Check</t>
  </si>
  <si>
    <t>Repayment Limit Check</t>
  </si>
  <si>
    <t>ADT — Sponsor Returns</t>
  </si>
  <si>
    <t>Initial Sponsor Equity</t>
  </si>
  <si>
    <t>Exit EBITDA</t>
  </si>
  <si>
    <t>2030 calculated EBITDA: operating income + D&amp;A.</t>
  </si>
  <si>
    <t>Underwriting exit multiple on calculated EBITDA.</t>
  </si>
  <si>
    <t>Exit Enterprise Value</t>
  </si>
  <si>
    <t>Exit Debt</t>
  </si>
  <si>
    <t>Exit Cash</t>
  </si>
  <si>
    <t>Minimum cash retained; no interim distributions assumed</t>
  </si>
  <si>
    <t>Sponsor Exit Proceeds</t>
  </si>
  <si>
    <t>MOIC</t>
  </si>
  <si>
    <t>Annualized IRR</t>
  </si>
  <si>
    <t>Assumes a 2030 exit, no exit fees, and full sponsor ownership.</t>
  </si>
  <si>
    <t>ADT — Downside Analysis</t>
  </si>
  <si>
    <t>Assumption</t>
  </si>
  <si>
    <t>Selected Case</t>
  </si>
  <si>
    <t>Threshold</t>
  </si>
  <si>
    <t>Assessment</t>
  </si>
  <si>
    <t>Sponsor Equity Invested ($M)</t>
  </si>
  <si>
    <t>Exit EBITDA ($M)</t>
  </si>
  <si>
    <t>Exit Debt ($M)</t>
  </si>
  <si>
    <t>Sponsor Exit Proceeds ($M)</t>
  </si>
  <si>
    <t>IRR</t>
  </si>
  <si>
    <t>Maximum Year-end Debt / EBITDA</t>
  </si>
  <si>
    <t>Stress case: 2% growth, 48% EBITDA margin, and 4.5x exit multiple.</t>
  </si>
  <si>
    <t>Entry price and acquisition financing are unchanged between cases.</t>
  </si>
  <si>
    <t>ADT — Investment Dashboard</t>
  </si>
  <si>
    <t>Investment Returns</t>
  </si>
  <si>
    <t>MOIC target</t>
  </si>
  <si>
    <t>Minimum IRR</t>
  </si>
  <si>
    <t>Debt Risk</t>
  </si>
  <si>
    <t>Maximum Year-end Leverage</t>
  </si>
  <si>
    <t>Maximum leverage</t>
  </si>
  <si>
    <t>Transaction ($M)</t>
  </si>
  <si>
    <t>Sponsor Equity Invested</t>
  </si>
  <si>
    <t>Exit Valuation Sensitivity — IRR</t>
  </si>
  <si>
    <t>Model Checks</t>
  </si>
  <si>
    <t>EBITDA change</t>
  </si>
  <si>
    <t>Sources − Uses</t>
  </si>
  <si>
    <t>Debt Checks</t>
  </si>
  <si>
    <t>Investment Assessment</t>
  </si>
  <si>
    <t>Sensitivity holds exit debt and cash fixed; it tests sale valuation only.</t>
  </si>
  <si>
    <t>Base vs. Downside Comparison</t>
  </si>
  <si>
    <t>Operating stress is tested separately through the Base/Downside selector.</t>
  </si>
  <si>
    <t>Revenue ($M)</t>
  </si>
  <si>
    <t>EBITDA ($M)</t>
  </si>
  <si>
    <t>Base vs. Downside Debt</t>
  </si>
  <si>
    <t>Equity IRR</t>
  </si>
  <si>
    <t>Scenario</t>
  </si>
  <si>
    <t>ADT — Base vs. Downside</t>
  </si>
  <si>
    <t>Base Case Calculations</t>
  </si>
  <si>
    <t>Downside Calculations</t>
  </si>
  <si>
    <t>System/equipment capex</t>
  </si>
  <si>
    <t>Trade NWC</t>
  </si>
  <si>
    <t>Change in NWC</t>
  </si>
  <si>
    <t>Debt Schedule</t>
  </si>
  <si>
    <t>Subscriber Cash Adjustments</t>
  </si>
  <si>
    <t>Net deferred adjustment</t>
  </si>
  <si>
    <t>Calculated EBITDA = operating income + D&amp;A. Entry/exit multiples are underwriting assumptions.</t>
  </si>
  <si>
    <t>Subscriber cash rates: 2025 intensity. Cash taxes and other working capital remain simplified.</t>
  </si>
  <si>
    <t>2026 Downside Cash Flow Bridge ($M)</t>
  </si>
  <si>
    <t>Component</t>
  </si>
  <si>
    <t>Cash movement</t>
  </si>
  <si>
    <t>Floating base</t>
  </si>
  <si>
    <t>Cash outflow</t>
  </si>
  <si>
    <t>Total</t>
  </si>
  <si>
    <t>EBITDA</t>
  </si>
  <si>
    <t>Cash
taxes</t>
  </si>
  <si>
    <t>System
capex</t>
  </si>
  <si>
    <t>Dealer
accounts</t>
  </si>
  <si>
    <t>Deferred
adjustment</t>
  </si>
  <si>
    <t>Change
in NWC</t>
  </si>
  <si>
    <t>Cash
interest</t>
  </si>
  <si>
    <t>Cash for
debt</t>
  </si>
  <si>
    <t>Bridge reconciliation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</si>
</sst>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0.0%"/>
    <numFmt numFmtId="166" formatCode="0.0\x"/>
    <numFmt numFmtId="167" formatCode="&quot;$&quot;#,##0.0"/>
    <numFmt numFmtId="168" formatCode="#,##0.0"/>
    <numFmt numFmtId="169" formatCode="0.0&quot;x&quot;"/>
    <numFmt numFmtId="170" formatCode="0.00&quot;x&quot;"/>
    <numFmt numFmtId="171" formatCode="&quot;  &quot;@"/>
    <numFmt numFmtId="172" formatCode="&quot;$&quot;#,###.0"/>
    <numFmt numFmtId="173" formatCode="#,##0.0;\(#,##0.0\);\–"/>
    <numFmt numFmtId="174" formatCode="#,##0.0;\(#,##0.0\);&quot;–&quot;"/>
    <numFmt numFmtId="175" formatCode="&quot;$&quot;0.00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FF"/>
      <name val="Calibri"/>
    </font>
    <font>
      <sz val="11"/>
      <color rgb="FF008000"/>
      <name val="Calibri"/>
    </font>
    <font>
      <sz val="11"/>
      <color rgb="FF0070C0"/>
      <name val="Calibri"/>
    </font>
    <font>
      <sz val="11"/>
      <color rgb="FF00B050"/>
      <name val="Calibri"/>
    </font>
    <font>
      <b/>
      <sz val="11"/>
      <color rgb="FF000000"/>
      <name val="Calibri"/>
    </font>
    <font>
      <b/>
      <sz val="15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5"/>
      <color theme="1"/>
      <name val="Calibri"/>
    </font>
    <font>
      <b/>
      <sz val="11"/>
      <color rgb="FF008000"/>
      <name val="Calibri"/>
    </font>
    <font>
      <b/>
      <sz val="1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0"/>
      <name val="Calibri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sz val="10"/>
      <color rgb="FF008000"/>
      <name val="Calibri"/>
    </font>
    <font>
      <sz val="10"/>
      <color rgb="FF0000FF"/>
      <name val="Calibri"/>
    </font>
    <font>
      <sz val="10"/>
      <color rgb="FF000000"/>
      <name val="Calibri"/>
    </font>
    <font>
      <sz val="10"/>
      <color theme="0"/>
      <name val="Calibri"/>
    </font>
    <font>
      <b/>
      <sz val="17"/>
      <color rgb="FF102D4E"/>
      <name val="Calibri"/>
    </font>
    <font>
      <b/>
      <sz val="10"/>
      <color rgb="FFFFFFFF"/>
      <name val="Calibri"/>
    </font>
    <font>
      <b/>
      <sz val="10"/>
      <color rgb="FF9C3225"/>
      <name val="Calibri"/>
    </font>
    <font>
      <sz val="9"/>
      <color rgb="FF64748B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E6EEF5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02D4E"/>
        <bgColor indexed="64"/>
      </patternFill>
    </fill>
    <fill>
      <patternFill patternType="solid">
        <fgColor rgb="FFE7EEF5"/>
        <bgColor indexed="64"/>
      </patternFill>
    </fill>
    <fill>
      <patternFill patternType="solid">
        <fgColor rgb="FFFCEC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/>
    <xf numFmtId="168" fontId="4" fillId="0" borderId="0" xfId="0" applyNumberFormat="1" applyFont="1"/>
    <xf numFmtId="165" fontId="5" fillId="0" borderId="0" xfId="0" applyNumberFormat="1" applyFont="1"/>
    <xf numFmtId="165" fontId="4" fillId="0" borderId="0" xfId="0" applyNumberFormat="1" applyFont="1"/>
    <xf numFmtId="168" fontId="3" fillId="0" borderId="0" xfId="0" applyNumberFormat="1" applyFont="1"/>
    <xf numFmtId="165" fontId="3" fillId="0" borderId="0" xfId="0" applyNumberFormat="1" applyFont="1"/>
    <xf numFmtId="169" fontId="3" fillId="0" borderId="0" xfId="0" applyNumberFormat="1" applyFont="1"/>
    <xf numFmtId="1" fontId="3" fillId="0" borderId="0" xfId="0" applyNumberFormat="1" applyFont="1"/>
    <xf numFmtId="169" fontId="4" fillId="0" borderId="0" xfId="0" applyNumberFormat="1" applyFont="1"/>
    <xf numFmtId="0" fontId="3" fillId="0" borderId="0" xfId="0" applyNumberFormat="1" applyFont="1"/>
    <xf numFmtId="170" fontId="3" fillId="0" borderId="0" xfId="0" applyNumberFormat="1" applyFont="1"/>
    <xf numFmtId="0" fontId="0" fillId="0" borderId="0" xfId="0" applyFont="1" applyAlignment="1">
      <alignment horizontal="left" indent="1"/>
    </xf>
    <xf numFmtId="2" fontId="5" fillId="0" borderId="0" xfId="0" applyNumberFormat="1" applyFont="1"/>
    <xf numFmtId="0" fontId="1" fillId="3" borderId="0" xfId="0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8" fillId="2" borderId="0" xfId="0" applyFont="1" applyFill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65" fontId="8" fillId="0" borderId="0" xfId="0" applyNumberFormat="1" applyFont="1"/>
    <xf numFmtId="169" fontId="8" fillId="0" borderId="0" xfId="0" applyNumberFormat="1" applyFont="1"/>
    <xf numFmtId="0" fontId="7" fillId="4" borderId="0" xfId="0" applyFont="1" applyFill="1"/>
    <xf numFmtId="0" fontId="14" fillId="5" borderId="0" xfId="0" applyFont="1" applyFill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" fontId="8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14" fontId="8" fillId="0" borderId="0" xfId="0" applyNumberFormat="1" applyFont="1" applyAlignment="1">
      <alignment horizontal="right"/>
    </xf>
    <xf numFmtId="167" fontId="8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169" fontId="9" fillId="0" borderId="0" xfId="0" applyNumberFormat="1" applyFont="1" applyAlignment="1">
      <alignment horizontal="right"/>
    </xf>
    <xf numFmtId="169" fontId="8" fillId="0" borderId="0" xfId="0" applyNumberFormat="1" applyFont="1" applyAlignment="1">
      <alignment horizontal="right"/>
    </xf>
    <xf numFmtId="170" fontId="8" fillId="0" borderId="0" xfId="0" applyNumberFormat="1" applyFont="1" applyAlignment="1">
      <alignment horizontal="right"/>
    </xf>
    <xf numFmtId="166" fontId="11" fillId="0" borderId="0" xfId="0" applyNumberFormat="1" applyFont="1" applyAlignment="1">
      <alignment horizontal="right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0" fontId="15" fillId="0" borderId="0" xfId="0" applyFont="1"/>
    <xf numFmtId="168" fontId="15" fillId="0" borderId="0" xfId="0" applyNumberFormat="1" applyFont="1"/>
    <xf numFmtId="0" fontId="14" fillId="5" borderId="0" xfId="0" applyFont="1" applyFill="1" applyAlignment="1">
      <alignment horizontal="center" wrapText="1"/>
    </xf>
    <xf numFmtId="165" fontId="15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68" fontId="15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9" fontId="15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left"/>
    </xf>
    <xf numFmtId="168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168" fontId="9" fillId="0" borderId="0" xfId="0" applyNumberFormat="1" applyFont="1" applyAlignment="1">
      <alignment horizontal="right"/>
    </xf>
    <xf numFmtId="168" fontId="17" fillId="0" borderId="1" xfId="0" applyNumberFormat="1" applyFont="1" applyBorder="1" applyAlignment="1">
      <alignment horizontal="right"/>
    </xf>
    <xf numFmtId="171" fontId="6" fillId="0" borderId="0" xfId="0" applyNumberFormat="1" applyFont="1" applyAlignment="1">
      <alignment horizontal="left" indent="1"/>
    </xf>
    <xf numFmtId="0" fontId="15" fillId="0" borderId="0" xfId="0" applyFont="1" applyAlignment="1">
      <alignment horizontal="left"/>
    </xf>
    <xf numFmtId="168" fontId="6" fillId="0" borderId="0" xfId="0" applyNumberFormat="1" applyFont="1"/>
    <xf numFmtId="168" fontId="6" fillId="0" borderId="0" xfId="0" applyNumberFormat="1" applyFont="1" applyAlignment="1">
      <alignment horizontal="right"/>
    </xf>
    <xf numFmtId="0" fontId="15" fillId="0" borderId="0" xfId="0" applyFont="1" applyAlignment="1"/>
    <xf numFmtId="171" fontId="6" fillId="0" borderId="0" xfId="0" applyNumberFormat="1" applyFont="1" applyAlignment="1">
      <alignment horizontal="left"/>
    </xf>
    <xf numFmtId="0" fontId="14" fillId="5" borderId="0" xfId="0" applyFont="1" applyFill="1" applyAlignment="1">
      <alignment horizontal="left"/>
    </xf>
    <xf numFmtId="0" fontId="14" fillId="5" borderId="0" xfId="0" applyFont="1" applyFill="1" applyAlignment="1">
      <alignment horizontal="right"/>
    </xf>
    <xf numFmtId="171" fontId="15" fillId="0" borderId="0" xfId="0" applyNumberFormat="1" applyFont="1" applyAlignment="1">
      <alignment horizontal="left"/>
    </xf>
    <xf numFmtId="171" fontId="15" fillId="0" borderId="0" xfId="0" applyNumberFormat="1" applyFont="1"/>
    <xf numFmtId="168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12" fillId="0" borderId="1" xfId="0" applyFont="1" applyBorder="1"/>
    <xf numFmtId="168" fontId="7" fillId="0" borderId="1" xfId="0" applyNumberFormat="1" applyFont="1" applyBorder="1"/>
    <xf numFmtId="171" fontId="7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170" fontId="12" fillId="0" borderId="2" xfId="0" applyNumberFormat="1" applyFont="1" applyBorder="1" applyAlignment="1">
      <alignment horizontal="right"/>
    </xf>
    <xf numFmtId="169" fontId="7" fillId="0" borderId="0" xfId="0" applyNumberFormat="1" applyFont="1" applyBorder="1" applyAlignment="1">
      <alignment horizontal="right"/>
    </xf>
    <xf numFmtId="169" fontId="12" fillId="0" borderId="0" xfId="0" applyNumberFormat="1" applyFont="1" applyBorder="1" applyAlignment="1">
      <alignment horizontal="right"/>
    </xf>
    <xf numFmtId="2" fontId="15" fillId="0" borderId="0" xfId="0" applyNumberFormat="1" applyFont="1" applyAlignment="1">
      <alignment horizontal="right"/>
    </xf>
    <xf numFmtId="0" fontId="19" fillId="6" borderId="0" xfId="0" applyFont="1" applyFill="1"/>
    <xf numFmtId="0" fontId="0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168" fontId="4" fillId="0" borderId="0" xfId="0" applyNumberFormat="1" applyFont="1" applyBorder="1"/>
    <xf numFmtId="0" fontId="1" fillId="4" borderId="0" xfId="0" applyFont="1" applyFill="1"/>
    <xf numFmtId="0" fontId="0" fillId="4" borderId="0" xfId="0" applyFill="1"/>
    <xf numFmtId="0" fontId="19" fillId="7" borderId="0" xfId="0" applyFont="1" applyFill="1"/>
    <xf numFmtId="0" fontId="22" fillId="7" borderId="0" xfId="0" applyFont="1" applyFill="1"/>
    <xf numFmtId="0" fontId="0" fillId="0" borderId="0" xfId="0" applyNumberFormat="1"/>
    <xf numFmtId="165" fontId="0" fillId="0" borderId="0" xfId="0" applyNumberFormat="1"/>
    <xf numFmtId="172" fontId="0" fillId="0" borderId="0" xfId="0" applyNumberFormat="1"/>
    <xf numFmtId="168" fontId="0" fillId="0" borderId="0" xfId="0" applyNumberFormat="1"/>
    <xf numFmtId="170" fontId="0" fillId="0" borderId="0" xfId="0" applyNumberFormat="1"/>
    <xf numFmtId="2" fontId="0" fillId="0" borderId="0" xfId="0" applyNumberFormat="1"/>
    <xf numFmtId="169" fontId="0" fillId="0" borderId="0" xfId="0" applyNumberFormat="1"/>
    <xf numFmtId="173" fontId="2" fillId="0" borderId="0" xfId="0" applyNumberFormat="1" applyFont="1"/>
    <xf numFmtId="173" fontId="5" fillId="0" borderId="0" xfId="0" applyNumberFormat="1" applyFont="1"/>
    <xf numFmtId="165" fontId="9" fillId="0" borderId="0" xfId="0" applyNumberFormat="1" applyFont="1"/>
    <xf numFmtId="173" fontId="3" fillId="0" borderId="0" xfId="0" applyNumberFormat="1" applyFont="1"/>
    <xf numFmtId="0" fontId="1" fillId="8" borderId="0" xfId="0" applyFont="1" applyFill="1"/>
    <xf numFmtId="0" fontId="0" fillId="8" borderId="0" xfId="0" applyFill="1"/>
    <xf numFmtId="0" fontId="23" fillId="7" borderId="0" xfId="0" applyFont="1" applyFill="1"/>
    <xf numFmtId="174" fontId="2" fillId="0" borderId="0" xfId="0" applyNumberFormat="1" applyFont="1" applyAlignment="1">
      <alignment horizontal="right"/>
    </xf>
    <xf numFmtId="0" fontId="4" fillId="4" borderId="0" xfId="0" applyFont="1" applyFill="1"/>
    <xf numFmtId="174" fontId="4" fillId="4" borderId="0" xfId="0" applyNumberFormat="1" applyFont="1" applyFill="1" applyAlignment="1">
      <alignment horizontal="right"/>
    </xf>
    <xf numFmtId="0" fontId="4" fillId="9" borderId="0" xfId="0" applyFont="1" applyFill="1"/>
    <xf numFmtId="2" fontId="4" fillId="9" borderId="0" xfId="0" applyNumberFormat="1" applyFont="1" applyFill="1" applyAlignment="1">
      <alignment horizontal="right"/>
    </xf>
    <xf numFmtId="174" fontId="3" fillId="0" borderId="0" xfId="0" applyNumberFormat="1" applyFont="1" applyAlignment="1">
      <alignment horizontal="right"/>
    </xf>
    <xf numFmtId="0" fontId="24" fillId="0" borderId="0" xfId="0" applyFont="1"/>
    <xf numFmtId="14" fontId="7" fillId="0" borderId="0" xfId="0" applyNumberFormat="1" applyFont="1"/>
    <xf numFmtId="175" fontId="9" fillId="0" borderId="0" xfId="0" applyNumberFormat="1" applyFont="1"/>
    <xf numFmtId="168" fontId="8" fillId="0" borderId="0" xfId="0" applyNumberFormat="1" applyFont="1"/>
    <xf numFmtId="168" fontId="9" fillId="0" borderId="0" xfId="0" applyNumberFormat="1" applyFont="1"/>
    <xf numFmtId="169" fontId="15" fillId="0" borderId="0" xfId="0" applyNumberFormat="1" applyFont="1"/>
    <xf numFmtId="166" fontId="15" fillId="0" borderId="0" xfId="0" applyNumberFormat="1" applyFont="1" applyAlignment="1">
      <alignment horizontal="right"/>
    </xf>
    <xf numFmtId="0" fontId="25" fillId="10" borderId="0" xfId="0" applyFont="1" applyFill="1"/>
    <xf numFmtId="0" fontId="26" fillId="10" borderId="0" xfId="0" applyFont="1" applyFill="1"/>
    <xf numFmtId="0" fontId="27" fillId="10" borderId="0" xfId="0" applyNumberFormat="1" applyFont="1" applyFill="1" applyAlignment="1">
      <alignment horizontal="right"/>
    </xf>
    <xf numFmtId="0" fontId="25" fillId="10" borderId="0" xfId="0" applyFont="1" applyFill="1" applyAlignment="1">
      <alignment horizontal="right"/>
    </xf>
    <xf numFmtId="169" fontId="27" fillId="10" borderId="0" xfId="0" applyNumberFormat="1" applyFont="1" applyFill="1" applyAlignment="1">
      <alignment horizontal="right"/>
    </xf>
    <xf numFmtId="169" fontId="27" fillId="10" borderId="0" xfId="0" applyNumberFormat="1" applyFont="1" applyFill="1"/>
    <xf numFmtId="165" fontId="27" fillId="10" borderId="0" xfId="0" applyNumberFormat="1" applyFont="1" applyFill="1" applyAlignment="1">
      <alignment horizontal="right"/>
    </xf>
    <xf numFmtId="165" fontId="27" fillId="10" borderId="0" xfId="0" applyNumberFormat="1" applyFont="1" applyFill="1"/>
    <xf numFmtId="170" fontId="27" fillId="10" borderId="0" xfId="0" applyNumberFormat="1" applyFont="1" applyFill="1" applyAlignment="1">
      <alignment horizontal="right"/>
    </xf>
    <xf numFmtId="170" fontId="27" fillId="10" borderId="0" xfId="0" applyNumberFormat="1" applyFont="1" applyFill="1"/>
    <xf numFmtId="168" fontId="27" fillId="10" borderId="0" xfId="0" applyNumberFormat="1" applyFont="1" applyFill="1" applyAlignment="1">
      <alignment horizontal="right"/>
    </xf>
    <xf numFmtId="169" fontId="28" fillId="10" borderId="0" xfId="0" applyNumberFormat="1" applyFont="1" applyFill="1"/>
    <xf numFmtId="2" fontId="29" fillId="10" borderId="0" xfId="0" applyNumberFormat="1" applyFont="1" applyFill="1"/>
    <xf numFmtId="9" fontId="28" fillId="10" borderId="0" xfId="0" applyNumberFormat="1" applyFont="1" applyFill="1"/>
    <xf numFmtId="165" fontId="29" fillId="10" borderId="0" xfId="0" applyNumberFormat="1" applyFont="1" applyFill="1"/>
    <xf numFmtId="0" fontId="30" fillId="10" borderId="0" xfId="0" applyFont="1" applyFill="1"/>
    <xf numFmtId="168" fontId="25" fillId="10" borderId="0" xfId="0" applyNumberFormat="1" applyFont="1" applyFill="1"/>
    <xf numFmtId="169" fontId="25" fillId="10" borderId="0" xfId="0" applyNumberFormat="1" applyFont="1" applyFill="1"/>
    <xf numFmtId="165" fontId="25" fillId="10" borderId="0" xfId="0" applyNumberFormat="1" applyFont="1" applyFill="1"/>
    <xf numFmtId="170" fontId="25" fillId="10" borderId="0" xfId="0" applyNumberFormat="1" applyFont="1" applyFill="1"/>
    <xf numFmtId="0" fontId="32" fillId="11" borderId="0" xfId="0" applyFont="1" applyFill="1"/>
    <xf numFmtId="0" fontId="32" fillId="11" borderId="0" xfId="0" applyFont="1" applyFill="1" applyAlignment="1">
      <alignment horizontal="right"/>
    </xf>
    <xf numFmtId="0" fontId="26" fillId="12" borderId="0" xfId="0" applyFont="1" applyFill="1"/>
    <xf numFmtId="0" fontId="14" fillId="5" borderId="0" xfId="0" applyFont="1" applyFill="1" applyAlignment="1">
      <alignment horizontal="center"/>
    </xf>
    <xf numFmtId="173" fontId="0" fillId="0" borderId="0" xfId="0" applyNumberFormat="1"/>
    <xf numFmtId="0" fontId="0" fillId="0" borderId="0" xfId="0" applyAlignment="1">
      <alignment wrapText="1"/>
    </xf>
    <xf numFmtId="0" fontId="31" fillId="10" borderId="0" xfId="0" applyFont="1" applyFill="1" applyAlignment="1">
      <alignment horizontal="center"/>
    </xf>
    <xf numFmtId="0" fontId="32" fillId="11" borderId="0" xfId="0" applyFont="1" applyFill="1" applyAlignment="1"/>
    <xf numFmtId="0" fontId="33" fillId="13" borderId="0" xfId="0" applyFont="1" applyFill="1" applyAlignment="1"/>
    <xf numFmtId="0" fontId="34" fillId="10" borderId="0" xfId="0" applyFont="1" applyFill="1" applyAlignment="1">
      <alignment wrapText="1"/>
    </xf>
    <xf numFmtId="0" fontId="12" fillId="4" borderId="0" xfId="0" applyFont="1" applyFill="1" applyAlignment="1">
      <alignment horizontal="center"/>
    </xf>
    <xf numFmtId="0" fontId="7" fillId="4" borderId="0" xfId="0" applyFont="1" applyFill="1" applyAlignment="1">
      <alignment horizontal="left"/>
    </xf>
    <xf numFmtId="0" fontId="7" fillId="4" borderId="0" xfId="0" applyFont="1" applyFill="1" applyAlignment="1">
      <alignment horizontal="right"/>
    </xf>
    <xf numFmtId="0" fontId="7" fillId="4" borderId="0" xfId="0" applyFont="1" applyFill="1" applyAlignment="1">
      <alignment horizontal="center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right"/>
    </xf>
    <xf numFmtId="0" fontId="20" fillId="6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8" fillId="4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D6868"/>
      <color rgb="FFE6E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vs. Downside Year-end Debt ($M)</a:t>
            </a:r>
          </a:p>
        </c:rich>
      </c:tx>
      <c:overlay val="0"/>
      <c:spPr>
        <a:solidFill>
          <a:srgbClr val="FFFFFF"/>
        </a:solidFill>
        <a:ln w="12700" cap="flat" cmpd="sng" algn="ctr">
          <a:solidFill>
            <a:srgbClr val="FFFFFF"/>
          </a:solidFill>
          <a:prstDash val="solid"/>
          <a:round/>
          <a:headEnd type="none" w="med" len="med"/>
          <a:tailEnd type="none" w="med" len="me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Dashboard!$H$101</c:f>
              <c:strCache>
                <c:ptCount val="1"/>
                <c:pt idx="0">
                  <c:v>Base</c:v>
                </c:pt>
              </c:strCache>
            </c:strRef>
          </c:tx>
          <c:spPr>
            <a:ln w="25400" cap="rnd" cmpd="sng" algn="ctr">
              <a:solidFill>
                <a:srgbClr val="375623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375623"/>
              </a:solidFill>
              <a:ln w="9525">
                <a:solidFill>
                  <a:srgbClr val="375623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03A-4059-A677-185527DB07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903A-4059-A677-185527DB07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03A-4059-A677-185527DB07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903A-4059-A677-185527DB07DE}"/>
                </c:ext>
              </c:extLst>
            </c:dLbl>
            <c:dLbl>
              <c:idx val="4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3A-4059-A677-185527DB0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Dashboard!$G$102:$G$106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Dashboard!$H$102:$H$106</c:f>
              <c:numCache>
                <c:formatCode>#,##0.0</c:formatCode>
                <c:ptCount val="5"/>
                <c:pt idx="0">
                  <c:v>10385.920195925</c:v>
                </c:pt>
                <c:pt idx="1">
                  <c:v>10007.817293118016</c:v>
                </c:pt>
                <c:pt idx="2">
                  <c:v>9564.9521607366587</c:v>
                </c:pt>
                <c:pt idx="3">
                  <c:v>9051.7433902876292</c:v>
                </c:pt>
                <c:pt idx="4">
                  <c:v>8462.2107603755212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3A-4059-A677-185527DB07DE}"/>
            </c:ext>
          </c:extLst>
        </c:ser>
        <c:ser>
          <c:idx val="1"/>
          <c:order val="1"/>
          <c:tx>
            <c:strRef>
              <c:f>Dashboard!$I$101</c:f>
              <c:strCache>
                <c:ptCount val="1"/>
                <c:pt idx="0">
                  <c:v>Downside</c:v>
                </c:pt>
              </c:strCache>
            </c:strRef>
          </c:tx>
          <c:spPr>
            <a:ln w="25400" cap="rnd" cmpd="sng" algn="ctr">
              <a:solidFill>
                <a:srgbClr val="C0504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C0504D"/>
              </a:solidFill>
              <a:ln w="9525">
                <a:solidFill>
                  <a:srgbClr val="C0504D"/>
                </a:solidFill>
                <a:prstDash val="solid"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903A-4059-A677-185527DB07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903A-4059-A677-185527DB07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903A-4059-A677-185527DB07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903A-4059-A677-185527DB07DE}"/>
                </c:ext>
              </c:extLst>
            </c:dLbl>
            <c:dLbl>
              <c:idx val="4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03A-4059-A677-185527DB07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Dashboard!$G$102:$G$106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Dashboard!$I$102:$I$106</c:f>
              <c:numCache>
                <c:formatCode>#,##0.0</c:formatCode>
                <c:ptCount val="5"/>
                <c:pt idx="0">
                  <c:v>10549.694601638001</c:v>
                </c:pt>
                <c:pt idx="1">
                  <c:v>10372.976848356462</c:v>
                </c:pt>
                <c:pt idx="2">
                  <c:v>10172.912674933732</c:v>
                </c:pt>
                <c:pt idx="3">
                  <c:v>9948.0227564416255</c:v>
                </c:pt>
                <c:pt idx="4">
                  <c:v>9696.7464479909468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3A-4059-A677-185527DB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7273480"/>
        <c:axId val="887279624"/>
      </c:lineChart>
      <c:catAx>
        <c:axId val="88727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79624"/>
        <c:crosses val="autoZero"/>
        <c:auto val="1"/>
        <c:lblAlgn val="ctr"/>
        <c:lblOffset val="100"/>
        <c:noMultiLvlLbl val="0"/>
      </c:catAx>
      <c:valAx>
        <c:axId val="88727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0808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73480"/>
        <c:crosses val="autoZero"/>
        <c:crossBetween val="between"/>
        <c:majorUnit val="4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2026 Downside Cash Flow Bridge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'Scenario Comparison'!$C$61</c:f>
              <c:strCache>
                <c:ptCount val="1"/>
                <c:pt idx="0">
                  <c:v>Floating base</c:v>
                </c:pt>
              </c:strCache>
            </c:strRef>
          </c:tx>
          <c:spPr>
            <a:solidFill>
              <a:srgbClr val="FFFFFF"/>
            </a:solidFill>
            <a:ln w="12700" cap="flat" cmpd="sng" algn="ctr">
              <a:solidFill>
                <a:srgbClr val="FFF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6B4-43F4-92B8-285E9ECE495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6B4-43F4-92B8-285E9ECE495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6B4-43F4-92B8-285E9ECE495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6B4-43F4-92B8-285E9ECE495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6B4-43F4-92B8-285E9ECE495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6B4-43F4-92B8-285E9ECE495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6B4-43F4-92B8-285E9ECE495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6B4-43F4-92B8-285E9ECE4957}"/>
                </c:ext>
              </c:extLst>
            </c:dLbl>
            <c:numFmt formatCode="#,##0.0;\-#,##0.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Comparison'!A62:A69</c:f>
              <c:strCache>
                <c:ptCount val="8"/>
                <c:pt idx="0">
                  <c:v>EBITDA</c:v>
                </c:pt>
                <c:pt idx="1">
                  <c:v>Cash
taxes</c:v>
                </c:pt>
                <c:pt idx="2">
                  <c:v>System
capex</c:v>
                </c:pt>
                <c:pt idx="3">
                  <c:v>Dealer
accounts</c:v>
                </c:pt>
                <c:pt idx="4">
                  <c:v>Deferred
adjustment</c:v>
                </c:pt>
                <c:pt idx="5">
                  <c:v>Change
in NWC</c:v>
                </c:pt>
                <c:pt idx="6">
                  <c:v>Cash
interest</c:v>
                </c:pt>
                <c:pt idx="7">
                  <c:v>Cash for
debt</c:v>
                </c:pt>
              </c:strCache>
            </c:strRef>
          </c:cat>
          <c:val>
            <c:numRef>
              <c:f>'Scenario Comparison'!$C$62:$C$69</c:f>
              <c:numCache>
                <c:formatCode>#,##0.0;\(#,##0.0\);\–</c:formatCode>
                <c:ptCount val="8"/>
                <c:pt idx="0" formatCode="General">
                  <c:v>0</c:v>
                </c:pt>
                <c:pt idx="1">
                  <c:v>2416.6725751620002</c:v>
                </c:pt>
                <c:pt idx="2">
                  <c:v>1788.9310783620001</c:v>
                </c:pt>
                <c:pt idx="3">
                  <c:v>1180.5184183620001</c:v>
                </c:pt>
                <c:pt idx="4">
                  <c:v>913.68029836200014</c:v>
                </c:pt>
                <c:pt idx="5">
                  <c:v>904.08615836200011</c:v>
                </c:pt>
                <c:pt idx="6">
                  <c:v>154.77339836199997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B4-43F4-92B8-285E9ECE4957}"/>
            </c:ext>
          </c:extLst>
        </c:ser>
        <c:ser>
          <c:idx val="1"/>
          <c:order val="1"/>
          <c:tx>
            <c:strRef>
              <c:f>'Scenario Comparison'!$D$61</c:f>
              <c:strCache>
                <c:ptCount val="1"/>
                <c:pt idx="0">
                  <c:v>Cash outflow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 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6B4-43F4-92B8-285E9ECE4957}"/>
                </c:ext>
              </c:extLst>
            </c:dLbl>
            <c:numFmt formatCode="\(0.0\);\(0.0\)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Comparison'!A62:A69</c:f>
              <c:strCache>
                <c:ptCount val="8"/>
                <c:pt idx="0">
                  <c:v>EBITDA</c:v>
                </c:pt>
                <c:pt idx="1">
                  <c:v>Cash
taxes</c:v>
                </c:pt>
                <c:pt idx="2">
                  <c:v>System
capex</c:v>
                </c:pt>
                <c:pt idx="3">
                  <c:v>Dealer
accounts</c:v>
                </c:pt>
                <c:pt idx="4">
                  <c:v>Deferred
adjustment</c:v>
                </c:pt>
                <c:pt idx="5">
                  <c:v>Change
in NWC</c:v>
                </c:pt>
                <c:pt idx="6">
                  <c:v>Cash
interest</c:v>
                </c:pt>
                <c:pt idx="7">
                  <c:v>Cash for
debt</c:v>
                </c:pt>
              </c:strCache>
            </c:strRef>
          </c:cat>
          <c:val>
            <c:numRef>
              <c:f>'Scenario Comparison'!$D$62:$D$69</c:f>
              <c:numCache>
                <c:formatCode>#,##0.0;\(#,##0.0\);\–</c:formatCode>
                <c:ptCount val="8"/>
                <c:pt idx="0" formatCode="General">
                  <c:v>0</c:v>
                </c:pt>
                <c:pt idx="1">
                  <c:v>94.293412037999971</c:v>
                </c:pt>
                <c:pt idx="2">
                  <c:v>627.74149680000005</c:v>
                </c:pt>
                <c:pt idx="3">
                  <c:v>608.41265999999996</c:v>
                </c:pt>
                <c:pt idx="4">
                  <c:v>266.83812</c:v>
                </c:pt>
                <c:pt idx="5">
                  <c:v>9.5941400000000385</c:v>
                </c:pt>
                <c:pt idx="6">
                  <c:v>749.31276000000014</c:v>
                </c:pt>
                <c:pt idx="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B4-43F4-92B8-285E9ECE4957}"/>
            </c:ext>
          </c:extLst>
        </c:ser>
        <c:ser>
          <c:idx val="2"/>
          <c:order val="2"/>
          <c:tx>
            <c:strRef>
              <c:f>'Scenario Comparison'!$E$61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02D4E"/>
            </a:solidFill>
            <a:ln>
              <a:noFill/>
            </a:ln>
            <a:effectLst/>
          </c:spPr>
          <c:invertIfNegative val="0"/>
          <c:dLbls>
            <c:numFmt formatCode="#,##0.0;\-#,##0.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'Scenario Comparison'!A62:A69</c:f>
              <c:strCache>
                <c:ptCount val="8"/>
                <c:pt idx="0">
                  <c:v>EBITDA</c:v>
                </c:pt>
                <c:pt idx="1">
                  <c:v>Cash
taxes</c:v>
                </c:pt>
                <c:pt idx="2">
                  <c:v>System
capex</c:v>
                </c:pt>
                <c:pt idx="3">
                  <c:v>Dealer
accounts</c:v>
                </c:pt>
                <c:pt idx="4">
                  <c:v>Deferred
adjustment</c:v>
                </c:pt>
                <c:pt idx="5">
                  <c:v>Change
in NWC</c:v>
                </c:pt>
                <c:pt idx="6">
                  <c:v>Cash
interest</c:v>
                </c:pt>
                <c:pt idx="7">
                  <c:v>Cash for
debt</c:v>
                </c:pt>
              </c:strCache>
            </c:strRef>
          </c:cat>
          <c:val>
            <c:numRef>
              <c:f>'Scenario Comparison'!$E$62:$E$69</c:f>
              <c:numCache>
                <c:formatCode>General</c:formatCode>
                <c:ptCount val="8"/>
                <c:pt idx="0" formatCode="#,##0.0;\(#,##0.0\);\–">
                  <c:v>2510.9659872000002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#,##0.0;\(#,##0.0\);\–">
                  <c:v>154.77339836199997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B4-43F4-92B8-285E9ECE4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853347336"/>
        <c:axId val="853362184"/>
      </c:barChart>
      <c:catAx>
        <c:axId val="853347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62184"/>
        <c:crosses val="autoZero"/>
        <c:auto val="1"/>
        <c:lblAlgn val="ctr"/>
        <c:lblOffset val="100"/>
        <c:noMultiLvlLbl val="0"/>
      </c:catAx>
      <c:valAx>
        <c:axId val="85336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347336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Base vs. Downside Equity IRR</a:t>
            </a:r>
          </a:p>
        </c:rich>
      </c:tx>
      <c:layout>
        <c:manualLayout>
          <c:xMode val="edge"/>
          <c:yMode val="edge"/>
          <c:x val="0.3303717489859222"/>
          <c:y val="3.7780185733664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Dashboard!$J$110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375623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0.52912280701754388"/>
                </c:manualLayout>
              </c:layout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88-497E-A4EA-82231D147D2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Dashboard!$I$111:$I$112</c:f>
              <c:strCache>
                <c:ptCount val="2"/>
                <c:pt idx="0">
                  <c:v>Base</c:v>
                </c:pt>
                <c:pt idx="1">
                  <c:v>Downside</c:v>
                </c:pt>
              </c:strCache>
            </c:strRef>
          </c:cat>
          <c:val>
            <c:numRef>
              <c:f>Dashboard!$J$111:$J$112</c:f>
              <c:numCache>
                <c:formatCode>General</c:formatCode>
                <c:ptCount val="2"/>
                <c:pt idx="0" formatCode="0.0%">
                  <c:v>0.1863053762848037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4E-451F-B10B-8963552340BA}"/>
            </c:ext>
          </c:extLst>
        </c:ser>
        <c:ser>
          <c:idx val="1"/>
          <c:order val="1"/>
          <c:tx>
            <c:strRef>
              <c:f>Dashboard!$K$110</c:f>
              <c:strCache>
                <c:ptCount val="1"/>
                <c:pt idx="0">
                  <c:v>Downside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2.6809651474530832E-3"/>
                  <c:y val="-2.4558640696228759E-3"/>
                </c:manualLayout>
              </c:layout>
              <c:dLblPos val="outEnd"/>
              <c:showLegendKey val="0"/>
              <c:showVal val="1"/>
              <c:showCatName val="0"/>
              <c:showSerName val="1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88-497E-A4EA-82231D147D2B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1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Dashboard!$I$111:$I$112</c:f>
              <c:strCache>
                <c:ptCount val="2"/>
                <c:pt idx="0">
                  <c:v>Base</c:v>
                </c:pt>
                <c:pt idx="1">
                  <c:v>Downside</c:v>
                </c:pt>
              </c:strCache>
            </c:strRef>
          </c:cat>
          <c:val>
            <c:numRef>
              <c:f>Dashboard!$K$111:$K$112</c:f>
              <c:numCache>
                <c:formatCode>0.0%</c:formatCode>
                <c:ptCount val="2"/>
                <c:pt idx="1">
                  <c:v>-9.7878520152342885E-2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4E-451F-B10B-8963552340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7"/>
        <c:overlap val="100"/>
        <c:axId val="2143211016"/>
        <c:axId val="243176967"/>
      </c:barChart>
      <c:lineChart>
        <c:grouping val="standard"/>
        <c:varyColors val="0"/>
        <c:ser>
          <c:idx val="2"/>
          <c:order val="2"/>
          <c:tx>
            <c:v>20% Target IRR</c:v>
          </c:tx>
          <c:spPr>
            <a:ln w="19050" cap="rnd" cmpd="sng" algn="ctr">
              <a:solidFill>
                <a:srgbClr val="7F7F7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A4-42C8-8287-F1B8AB00B3AC}"/>
                </c:ext>
              </c:extLst>
            </c:dLbl>
            <c:dLbl>
              <c:idx val="1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A4-42C8-8287-F1B8AB00B3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Dashboard!$I$111:$I$112</c:f>
              <c:strCache>
                <c:ptCount val="2"/>
                <c:pt idx="0">
                  <c:v>Base</c:v>
                </c:pt>
                <c:pt idx="1">
                  <c:v>Downside</c:v>
                </c:pt>
              </c:strCache>
            </c:strRef>
          </c:cat>
          <c:val>
            <c:numRef>
              <c:f>Dashboard!G111:G112</c:f>
              <c:numCache>
                <c:formatCode>0.0%</c:formatCode>
                <c:ptCount val="2"/>
                <c:pt idx="0">
                  <c:v>0.2</c:v>
                </c:pt>
                <c:pt idx="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A4-42C8-8287-F1B8AB00B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211016"/>
        <c:axId val="243176967"/>
      </c:lineChart>
      <c:catAx>
        <c:axId val="21432110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low"/>
        <c:crossAx val="243176967"/>
        <c:crosses val="autoZero"/>
        <c:auto val="1"/>
        <c:lblAlgn val="ctr"/>
        <c:lblOffset val="100"/>
        <c:noMultiLvlLbl val="0"/>
      </c:catAx>
      <c:valAx>
        <c:axId val="24317696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211016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11</xdr:col>
      <xdr:colOff>771525</xdr:colOff>
      <xdr:row>13</xdr:row>
      <xdr:rowOff>47625</xdr:rowOff>
    </xdr:to>
    <xdr:graphicFrame macro="">
      <xdr:nvGraphicFramePr>
        <xdr:cNvPr id="2" name="DebtProfile">
          <a:extLst>
            <a:ext uri="{FF2B5EF4-FFF2-40B4-BE49-F238E27FC236}">
              <a16:creationId xmlns:a16="http://schemas.microsoft.com/office/drawing/2014/main" id="{B3DC5931-9EDE-A830-4457-1E56CE0A7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5</xdr:col>
      <xdr:colOff>123825</xdr:colOff>
      <xdr:row>52</xdr:row>
      <xdr:rowOff>47625</xdr:rowOff>
    </xdr:to>
    <xdr:graphicFrame macro="">
      <xdr:nvGraphicFramePr>
        <xdr:cNvPr id="3" name="OperatingPerformance">
          <a:extLst>
            <a:ext uri="{FF2B5EF4-FFF2-40B4-BE49-F238E27FC236}">
              <a16:creationId xmlns:a16="http://schemas.microsoft.com/office/drawing/2014/main" id="{287E4A88-748F-C8E0-EFD0-57848B37B1FE}"/>
            </a:ext>
            <a:ext uri="{147F2762-F138-4A5C-976F-8EAC2B608ADB}">
              <a16:predDERef xmlns:a16="http://schemas.microsoft.com/office/drawing/2014/main" pred="{B3DC5931-9EDE-A830-4457-1E56CE0A7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171450</xdr:colOff>
      <xdr:row>27</xdr:row>
      <xdr:rowOff>142875</xdr:rowOff>
    </xdr:from>
    <xdr:to>
      <xdr:col>12</xdr:col>
      <xdr:colOff>152400</xdr:colOff>
      <xdr:row>42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6ECCA1-9BE0-C325-6B68-994451A14EE8}"/>
            </a:ext>
            <a:ext uri="{147F2762-F138-4A5C-976F-8EAC2B608ADB}">
              <a16:predDERef xmlns:a16="http://schemas.microsoft.com/office/drawing/2014/main" pred="{287E4A88-748F-C8E0-EFD0-57848B37B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0FB137-0B84-4F80-AB7A-C1D5C259A724}">
  <we:reference id="wa200010215" version="2.0.0.1" store="en-US" storeType="omex"/>
  <we:alternateReferences>
    <we:reference id="wa200010215" version="2.0.0.1" store="en-US" storeType="omex"/>
  </we:alternateReferences>
  <we:properties>
    <we:property name="bps.codex_control.document_id" value="&quot;388b1b4d-6bd8-457d-a3b1-e47e6ff5e66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A36" sqref="A36"/>
    </sheetView>
  </sheetViews>
  <sheetFormatPr defaultRowHeight="15"/>
  <cols>
    <col min="1" max="1" width="23.140625" style="1" customWidth="1"/>
    <col min="2" max="2" width="46.7109375" style="1" customWidth="1"/>
    <col min="3" max="3" width="30" style="1" customWidth="1"/>
    <col min="4" max="4" width="27.140625" style="1" customWidth="1"/>
    <col min="5" max="5" width="21" style="1" customWidth="1"/>
    <col min="6" max="6" width="75.5703125" customWidth="1"/>
    <col min="8" max="8" width="25.7109375" customWidth="1"/>
    <col min="9" max="10" width="15.28515625" customWidth="1"/>
  </cols>
  <sheetData>
    <row r="1" spans="1:10" ht="27" customHeight="1">
      <c r="A1" s="151" t="s">
        <v>0</v>
      </c>
      <c r="B1" s="151"/>
      <c r="C1" s="151"/>
      <c r="D1" s="151"/>
      <c r="E1" s="151"/>
      <c r="F1" s="151"/>
      <c r="G1" s="18"/>
      <c r="H1" s="18"/>
      <c r="I1" s="18"/>
      <c r="J1" s="18"/>
    </row>
    <row r="2" spans="1:10" ht="21.75" customHeight="1">
      <c r="A2" s="19"/>
      <c r="B2" s="19"/>
      <c r="C2" s="19"/>
      <c r="D2" s="19"/>
      <c r="E2" s="19"/>
      <c r="F2" s="18"/>
      <c r="G2" s="18"/>
      <c r="H2" s="25" t="s">
        <v>1</v>
      </c>
      <c r="I2" s="25"/>
      <c r="J2" s="25"/>
    </row>
    <row r="3" spans="1:10" ht="21.75" customHeight="1">
      <c r="A3" s="148" t="s">
        <v>2</v>
      </c>
      <c r="B3" s="148"/>
      <c r="C3" s="148"/>
      <c r="D3" s="148"/>
      <c r="E3" s="148"/>
      <c r="F3" s="148"/>
      <c r="G3" s="18"/>
      <c r="H3" s="18"/>
      <c r="I3" s="18"/>
      <c r="J3" s="18"/>
    </row>
    <row r="4" spans="1:10" ht="24" customHeight="1">
      <c r="A4" s="19"/>
      <c r="B4" s="138" t="s">
        <v>3</v>
      </c>
      <c r="C4" s="138" t="s">
        <v>4</v>
      </c>
      <c r="D4" s="138" t="s">
        <v>5</v>
      </c>
      <c r="E4" s="138" t="s">
        <v>6</v>
      </c>
      <c r="F4" s="138" t="s">
        <v>7</v>
      </c>
      <c r="G4" s="18"/>
      <c r="H4" s="18" t="s">
        <v>8</v>
      </c>
      <c r="I4" s="20" t="s">
        <v>9</v>
      </c>
      <c r="J4" s="18"/>
    </row>
    <row r="5" spans="1:10">
      <c r="A5" s="19"/>
      <c r="B5" s="27" t="s">
        <v>10</v>
      </c>
      <c r="C5" s="28"/>
      <c r="D5" s="28" t="s">
        <v>11</v>
      </c>
      <c r="E5" s="19" t="s">
        <v>12</v>
      </c>
      <c r="F5" s="21" t="s">
        <v>13</v>
      </c>
      <c r="G5" s="18"/>
      <c r="H5" s="18"/>
      <c r="I5" s="18"/>
      <c r="J5" s="18"/>
    </row>
    <row r="6" spans="1:10">
      <c r="A6" s="19"/>
      <c r="B6" s="27" t="s">
        <v>14</v>
      </c>
      <c r="C6" s="28"/>
      <c r="D6" s="28" t="s">
        <v>15</v>
      </c>
      <c r="E6" s="19" t="s">
        <v>12</v>
      </c>
      <c r="F6" s="21" t="s">
        <v>16</v>
      </c>
      <c r="G6" s="18"/>
      <c r="H6" s="18"/>
      <c r="I6" s="18"/>
      <c r="J6" s="18"/>
    </row>
    <row r="7" spans="1:10">
      <c r="A7" s="19"/>
      <c r="B7" s="27" t="s">
        <v>17</v>
      </c>
      <c r="C7" s="28"/>
      <c r="D7" s="28" t="s">
        <v>18</v>
      </c>
      <c r="E7" s="19" t="s">
        <v>12</v>
      </c>
      <c r="F7" s="21" t="s">
        <v>19</v>
      </c>
      <c r="G7" s="18"/>
      <c r="H7" s="18"/>
      <c r="I7" s="18"/>
      <c r="J7" s="18"/>
    </row>
    <row r="8" spans="1:10" ht="24" customHeight="1">
      <c r="A8" s="19"/>
      <c r="B8" s="27" t="s">
        <v>20</v>
      </c>
      <c r="C8" s="28"/>
      <c r="D8" s="29">
        <v>2025</v>
      </c>
      <c r="E8" s="19" t="s">
        <v>21</v>
      </c>
      <c r="F8" s="22" t="s">
        <v>22</v>
      </c>
      <c r="G8" s="18"/>
      <c r="H8" s="26" t="s">
        <v>23</v>
      </c>
      <c r="I8" s="26" t="s">
        <v>24</v>
      </c>
      <c r="J8" s="26" t="s">
        <v>9</v>
      </c>
    </row>
    <row r="9" spans="1:10">
      <c r="A9" s="19"/>
      <c r="B9" s="27" t="s">
        <v>25</v>
      </c>
      <c r="C9" s="28"/>
      <c r="D9" s="30">
        <v>5</v>
      </c>
      <c r="E9" s="19" t="s">
        <v>26</v>
      </c>
      <c r="F9" s="21" t="s">
        <v>27</v>
      </c>
      <c r="G9" s="18"/>
      <c r="H9" s="18" t="s">
        <v>28</v>
      </c>
      <c r="I9" s="23">
        <v>0.05</v>
      </c>
      <c r="J9" s="23">
        <v>0.02</v>
      </c>
    </row>
    <row r="10" spans="1:10">
      <c r="A10" s="19"/>
      <c r="B10" s="27" t="s">
        <v>29</v>
      </c>
      <c r="C10" s="28"/>
      <c r="D10" s="28" t="s">
        <v>30</v>
      </c>
      <c r="E10" s="19" t="s">
        <v>29</v>
      </c>
      <c r="F10" s="21" t="s">
        <v>31</v>
      </c>
      <c r="G10" s="18"/>
      <c r="H10" s="18" t="s">
        <v>32</v>
      </c>
      <c r="I10" s="23">
        <v>0.52</v>
      </c>
      <c r="J10" s="23">
        <v>0.48</v>
      </c>
    </row>
    <row r="11" spans="1:10">
      <c r="A11" s="19"/>
      <c r="B11" s="27"/>
      <c r="C11" s="28"/>
      <c r="D11" s="28"/>
      <c r="E11" s="19"/>
      <c r="F11" s="19"/>
      <c r="G11" s="18"/>
      <c r="H11" s="18" t="s">
        <v>33</v>
      </c>
      <c r="I11" s="24">
        <v>5.5</v>
      </c>
      <c r="J11" s="24">
        <v>4.5</v>
      </c>
    </row>
    <row r="12" spans="1:10" ht="21.75" customHeight="1">
      <c r="A12" s="145" t="s">
        <v>34</v>
      </c>
      <c r="B12" s="149"/>
      <c r="C12" s="150"/>
      <c r="D12" s="150"/>
      <c r="E12" s="145"/>
      <c r="F12" s="145"/>
      <c r="G12" s="18"/>
      <c r="H12" s="18"/>
      <c r="I12" s="18"/>
      <c r="J12" s="18"/>
    </row>
    <row r="13" spans="1:10">
      <c r="A13" s="19"/>
      <c r="B13" s="27" t="s">
        <v>28</v>
      </c>
      <c r="C13" s="31">
        <f>AVERAGE(Historical!C10:D10)</f>
        <v>4.9888204832387095E-2</v>
      </c>
      <c r="D13" s="32">
        <f>IF($I$4="Downside",$J$9,$I$9)</f>
        <v>0.02</v>
      </c>
      <c r="E13" s="19" t="s">
        <v>35</v>
      </c>
      <c r="F13" s="19" t="s">
        <v>36</v>
      </c>
      <c r="G13" s="18"/>
      <c r="H13" s="25" t="s">
        <v>37</v>
      </c>
      <c r="I13" s="18" t="s">
        <v>38</v>
      </c>
      <c r="J13" s="18"/>
    </row>
    <row r="14" spans="1:10">
      <c r="A14" s="19"/>
      <c r="B14" s="27" t="s">
        <v>39</v>
      </c>
      <c r="C14" s="31">
        <f>Historical!D16</f>
        <v>0.52180192399222636</v>
      </c>
      <c r="D14" s="32">
        <f>IF($I$4="Downside",$J$10,$I$10)</f>
        <v>0.48</v>
      </c>
      <c r="E14" s="19" t="s">
        <v>38</v>
      </c>
      <c r="F14" s="19" t="s">
        <v>40</v>
      </c>
      <c r="G14" s="18"/>
      <c r="H14" s="18" t="s">
        <v>41</v>
      </c>
      <c r="I14" s="97">
        <f>Historical!D78</f>
        <v>0.11630507075313042</v>
      </c>
      <c r="J14" s="18"/>
    </row>
    <row r="15" spans="1:10">
      <c r="A15" s="19"/>
      <c r="B15" s="59" t="s">
        <v>42</v>
      </c>
      <c r="C15" s="31">
        <f>Historical!D14/Historical!D9</f>
        <v>0.26658622897016676</v>
      </c>
      <c r="D15" s="32">
        <v>0.27</v>
      </c>
      <c r="E15" s="19" t="s">
        <v>38</v>
      </c>
      <c r="F15" s="19" t="s">
        <v>43</v>
      </c>
      <c r="G15" s="18"/>
      <c r="H15" s="18" t="s">
        <v>44</v>
      </c>
      <c r="I15" s="97">
        <f>Historical!D79</f>
        <v>4.9243975995821088E-2</v>
      </c>
      <c r="J15" s="18"/>
    </row>
    <row r="16" spans="1:10">
      <c r="A16" s="19"/>
      <c r="B16" s="59" t="s">
        <v>45</v>
      </c>
      <c r="C16" s="31">
        <f>Historical!D23</f>
        <v>0.11147919893257564</v>
      </c>
      <c r="D16" s="32">
        <v>0.12</v>
      </c>
      <c r="E16" s="19" t="s">
        <v>38</v>
      </c>
      <c r="F16" s="19" t="s">
        <v>46</v>
      </c>
      <c r="G16" s="18"/>
      <c r="H16" s="18" t="s">
        <v>47</v>
      </c>
      <c r="I16" s="97">
        <f>Historical!D80</f>
        <v>6.9885058457393984E-2</v>
      </c>
      <c r="J16" s="18"/>
    </row>
    <row r="17" spans="1:10">
      <c r="A17" s="19"/>
      <c r="B17" s="59" t="s">
        <v>48</v>
      </c>
      <c r="C17" s="31">
        <f>Historical!D84</f>
        <v>9.3535535087792845E-2</v>
      </c>
      <c r="D17" s="32">
        <f>C17</f>
        <v>9.3535535087792845E-2</v>
      </c>
      <c r="E17" s="19" t="s">
        <v>38</v>
      </c>
      <c r="F17" s="19" t="s">
        <v>49</v>
      </c>
      <c r="G17" s="18"/>
      <c r="H17" s="18" t="s">
        <v>50</v>
      </c>
      <c r="I17" s="97">
        <f>Historical!D81</f>
        <v>7.419734052540973E-2</v>
      </c>
      <c r="J17" s="18"/>
    </row>
    <row r="18" spans="1:10">
      <c r="A18" s="19"/>
      <c r="B18" s="59" t="s">
        <v>51</v>
      </c>
      <c r="C18" s="31">
        <f>Historical!D28</f>
        <v>0.27979208742498307</v>
      </c>
      <c r="D18" s="32">
        <v>0.27</v>
      </c>
      <c r="E18" s="19" t="s">
        <v>52</v>
      </c>
      <c r="F18" s="19" t="s">
        <v>53</v>
      </c>
      <c r="G18" s="18"/>
      <c r="H18" s="18" t="s">
        <v>54</v>
      </c>
      <c r="I18" s="97">
        <f>Historical!D82</f>
        <v>4.382925032079861E-2</v>
      </c>
      <c r="J18" s="18"/>
    </row>
    <row r="19" spans="1:10">
      <c r="A19" s="19"/>
      <c r="B19" s="27"/>
      <c r="C19" s="28"/>
      <c r="D19" s="28"/>
      <c r="E19" s="19"/>
      <c r="F19" s="18"/>
      <c r="G19" s="18"/>
      <c r="H19" s="18"/>
      <c r="I19" s="18"/>
      <c r="J19" s="18"/>
    </row>
    <row r="20" spans="1:10" ht="21.75" customHeight="1">
      <c r="A20" s="148" t="s">
        <v>55</v>
      </c>
      <c r="B20" s="146"/>
      <c r="C20" s="147"/>
      <c r="D20" s="147"/>
      <c r="E20" s="148"/>
      <c r="F20" s="148"/>
      <c r="G20" s="18"/>
      <c r="H20" s="18" t="s">
        <v>56</v>
      </c>
      <c r="I20" s="18"/>
      <c r="J20" s="18"/>
    </row>
    <row r="21" spans="1:10">
      <c r="A21" s="19"/>
      <c r="B21" s="27" t="s">
        <v>57</v>
      </c>
      <c r="C21" s="33" t="s">
        <v>58</v>
      </c>
      <c r="D21" s="34">
        <v>46022</v>
      </c>
      <c r="E21" s="19" t="s">
        <v>59</v>
      </c>
      <c r="F21" s="19" t="s">
        <v>60</v>
      </c>
      <c r="G21" s="18"/>
      <c r="H21" s="18" t="s">
        <v>61</v>
      </c>
      <c r="I21" s="18"/>
      <c r="J21" s="18"/>
    </row>
    <row r="22" spans="1:10">
      <c r="A22" s="19"/>
      <c r="B22" s="27" t="s">
        <v>62</v>
      </c>
      <c r="C22" s="35">
        <v>8.07</v>
      </c>
      <c r="D22" s="28" t="s">
        <v>58</v>
      </c>
      <c r="E22" s="19" t="s">
        <v>63</v>
      </c>
      <c r="F22" s="19" t="s">
        <v>64</v>
      </c>
      <c r="G22" s="18"/>
      <c r="H22" s="18"/>
      <c r="I22" s="18"/>
      <c r="J22" s="18"/>
    </row>
    <row r="23" spans="1:10">
      <c r="A23" s="19"/>
      <c r="B23" s="27" t="s">
        <v>65</v>
      </c>
      <c r="C23" s="114">
        <f>I36</f>
        <v>5.3567735094317621</v>
      </c>
      <c r="D23" s="36">
        <v>5.5</v>
      </c>
      <c r="E23" s="19" t="s">
        <v>66</v>
      </c>
      <c r="F23" s="19" t="s">
        <v>67</v>
      </c>
      <c r="G23" s="18"/>
      <c r="H23" s="18" t="s">
        <v>68</v>
      </c>
      <c r="I23" s="18"/>
      <c r="J23" s="18"/>
    </row>
    <row r="24" spans="1:10">
      <c r="A24" s="19"/>
      <c r="B24" s="27" t="s">
        <v>69</v>
      </c>
      <c r="C24" s="28" t="s">
        <v>58</v>
      </c>
      <c r="D24" s="32">
        <v>0.02</v>
      </c>
      <c r="E24" s="19" t="s">
        <v>70</v>
      </c>
      <c r="F24" s="19" t="s">
        <v>71</v>
      </c>
      <c r="G24" s="18"/>
      <c r="H24" s="18" t="s">
        <v>72</v>
      </c>
      <c r="I24" s="18"/>
      <c r="J24" s="18"/>
    </row>
    <row r="25" spans="1:10">
      <c r="A25" s="19"/>
      <c r="B25" s="27" t="s">
        <v>73</v>
      </c>
      <c r="C25" s="35">
        <v>80.816999999999993</v>
      </c>
      <c r="D25" s="35">
        <v>100</v>
      </c>
      <c r="E25" s="19" t="s">
        <v>74</v>
      </c>
      <c r="F25" s="19" t="s">
        <v>75</v>
      </c>
      <c r="G25" s="18"/>
      <c r="H25" s="18"/>
      <c r="I25" s="18"/>
      <c r="J25" s="18"/>
    </row>
    <row r="26" spans="1:10">
      <c r="A26" s="19"/>
      <c r="B26" s="27"/>
      <c r="C26" s="28"/>
      <c r="D26" s="28"/>
      <c r="E26" s="19"/>
      <c r="F26" s="18"/>
      <c r="G26" s="18"/>
      <c r="H26" s="18" t="s">
        <v>76</v>
      </c>
      <c r="I26" s="109">
        <v>46022</v>
      </c>
      <c r="J26" s="18"/>
    </row>
    <row r="27" spans="1:10" ht="21.75" customHeight="1">
      <c r="A27" s="148" t="s">
        <v>77</v>
      </c>
      <c r="B27" s="146"/>
      <c r="C27" s="147"/>
      <c r="D27" s="147"/>
      <c r="E27" s="148"/>
      <c r="F27" s="148"/>
      <c r="G27" s="18"/>
      <c r="H27" s="18" t="s">
        <v>78</v>
      </c>
      <c r="I27" s="110">
        <f>$C$22</f>
        <v>8.07</v>
      </c>
      <c r="J27" s="18"/>
    </row>
    <row r="28" spans="1:10">
      <c r="A28" s="19"/>
      <c r="B28" s="27" t="s">
        <v>79</v>
      </c>
      <c r="C28" s="37">
        <f>Historical!D42</f>
        <v>2.9143748199350026</v>
      </c>
      <c r="D28" s="38">
        <v>4</v>
      </c>
      <c r="E28" s="19" t="s">
        <v>66</v>
      </c>
      <c r="F28" s="19" t="s">
        <v>80</v>
      </c>
      <c r="G28" s="18"/>
      <c r="H28" s="18" t="s">
        <v>81</v>
      </c>
      <c r="I28" s="111">
        <v>765.20115699999997</v>
      </c>
      <c r="J28" s="18"/>
    </row>
    <row r="29" spans="1:10">
      <c r="A29" s="19"/>
      <c r="B29" s="59" t="s">
        <v>82</v>
      </c>
      <c r="C29" s="31">
        <f>Historical!D45/AVERAGE(Historical!C41:D41)</f>
        <v>5.2519028310426367E-2</v>
      </c>
      <c r="D29" s="32">
        <v>7.0000000000000007E-2</v>
      </c>
      <c r="E29" s="19" t="s">
        <v>83</v>
      </c>
      <c r="F29" s="19" t="s">
        <v>84</v>
      </c>
      <c r="G29" s="18"/>
      <c r="H29" s="18" t="s">
        <v>85</v>
      </c>
      <c r="I29" s="111">
        <v>54.744525000000003</v>
      </c>
      <c r="J29" s="18"/>
    </row>
    <row r="30" spans="1:10">
      <c r="A30" s="19"/>
      <c r="B30" s="59" t="s">
        <v>86</v>
      </c>
      <c r="C30" s="28" t="s">
        <v>58</v>
      </c>
      <c r="D30" s="32">
        <v>0.01</v>
      </c>
      <c r="E30" s="19" t="s">
        <v>87</v>
      </c>
      <c r="F30" s="19" t="s">
        <v>88</v>
      </c>
      <c r="G30" s="18"/>
      <c r="H30" s="18" t="s">
        <v>89</v>
      </c>
      <c r="I30" s="47">
        <f>SUM(I28:I29)</f>
        <v>819.94568199999992</v>
      </c>
      <c r="J30" s="18"/>
    </row>
    <row r="31" spans="1:10">
      <c r="A31" s="19"/>
      <c r="B31" s="59" t="s">
        <v>90</v>
      </c>
      <c r="C31" s="28" t="s">
        <v>58</v>
      </c>
      <c r="D31" s="32">
        <v>1</v>
      </c>
      <c r="E31" s="19" t="s">
        <v>91</v>
      </c>
      <c r="F31" s="19" t="s">
        <v>92</v>
      </c>
      <c r="G31" s="18"/>
      <c r="H31" s="18" t="s">
        <v>93</v>
      </c>
      <c r="I31" s="47">
        <f>I27*I30</f>
        <v>6616.9616537399997</v>
      </c>
      <c r="J31" s="18"/>
    </row>
    <row r="32" spans="1:10">
      <c r="A32" s="19"/>
      <c r="B32" s="59" t="s">
        <v>94</v>
      </c>
      <c r="C32" s="28" t="s">
        <v>58</v>
      </c>
      <c r="D32" s="39">
        <v>1.25</v>
      </c>
      <c r="E32" s="19" t="s">
        <v>95</v>
      </c>
      <c r="F32" s="19" t="s">
        <v>96</v>
      </c>
      <c r="G32" s="18"/>
      <c r="H32" s="18" t="s">
        <v>97</v>
      </c>
      <c r="I32" s="112">
        <f>Historical!D41</f>
        <v>7799.2079999999996</v>
      </c>
      <c r="J32" s="18"/>
    </row>
    <row r="33" spans="1:10">
      <c r="A33" s="19"/>
      <c r="B33" s="27" t="s">
        <v>98</v>
      </c>
      <c r="C33" s="37">
        <f>Historical!D42</f>
        <v>2.9143748199350026</v>
      </c>
      <c r="D33" s="38">
        <v>5</v>
      </c>
      <c r="E33" s="19" t="s">
        <v>95</v>
      </c>
      <c r="F33" s="19" t="s">
        <v>99</v>
      </c>
      <c r="G33" s="18"/>
      <c r="H33" s="18" t="s">
        <v>100</v>
      </c>
      <c r="I33" s="112">
        <f>Historical!D40</f>
        <v>80.816999999999993</v>
      </c>
      <c r="J33" s="18"/>
    </row>
    <row r="34" spans="1:10">
      <c r="A34" s="19"/>
      <c r="B34" s="27"/>
      <c r="C34" s="28"/>
      <c r="D34" s="28"/>
      <c r="E34" s="19"/>
      <c r="F34" s="18"/>
      <c r="G34" s="18"/>
      <c r="H34" s="18" t="s">
        <v>101</v>
      </c>
      <c r="I34" s="47">
        <f>I31+I32-I33</f>
        <v>14335.352653739999</v>
      </c>
      <c r="J34" s="18"/>
    </row>
    <row r="35" spans="1:10" ht="21.75" customHeight="1">
      <c r="A35" s="145" t="s">
        <v>102</v>
      </c>
      <c r="B35" s="146"/>
      <c r="C35" s="147"/>
      <c r="D35" s="147"/>
      <c r="E35" s="148"/>
      <c r="F35" s="148"/>
      <c r="G35" s="18"/>
      <c r="H35" s="18" t="s">
        <v>103</v>
      </c>
      <c r="I35" s="112">
        <f>Historical!D15</f>
        <v>2676.1170000000002</v>
      </c>
      <c r="J35" s="18"/>
    </row>
    <row r="36" spans="1:10">
      <c r="A36" s="19"/>
      <c r="B36" s="27" t="s">
        <v>104</v>
      </c>
      <c r="C36" s="28" t="s">
        <v>105</v>
      </c>
      <c r="D36" s="30">
        <v>5</v>
      </c>
      <c r="E36" s="19" t="s">
        <v>26</v>
      </c>
      <c r="F36" s="19" t="s">
        <v>106</v>
      </c>
      <c r="G36" s="18"/>
      <c r="H36" s="18" t="s">
        <v>107</v>
      </c>
      <c r="I36" s="113">
        <f>I34/I35</f>
        <v>5.3567735094317621</v>
      </c>
      <c r="J36" s="18"/>
    </row>
    <row r="37" spans="1:10">
      <c r="A37" s="19"/>
      <c r="B37" s="27" t="s">
        <v>33</v>
      </c>
      <c r="C37" s="40">
        <f>Inputs!C23</f>
        <v>5.3567735094317621</v>
      </c>
      <c r="D37" s="38">
        <f>IF($I$4="Downside",$J$11,$I$11)</f>
        <v>4.5</v>
      </c>
      <c r="E37" s="19" t="s">
        <v>66</v>
      </c>
      <c r="F37" s="19" t="s">
        <v>108</v>
      </c>
      <c r="G37" s="18"/>
      <c r="H37" s="18" t="s">
        <v>109</v>
      </c>
      <c r="I37" s="112">
        <f>'EBITDA Bridge'!B15</f>
        <v>2680.3760000000002</v>
      </c>
      <c r="J37" s="18"/>
    </row>
    <row r="38" spans="1:10">
      <c r="A38" s="19"/>
      <c r="B38" s="27" t="s">
        <v>110</v>
      </c>
      <c r="C38" s="28" t="s">
        <v>105</v>
      </c>
      <c r="D38" s="32">
        <v>0.2</v>
      </c>
      <c r="E38" s="19" t="s">
        <v>52</v>
      </c>
      <c r="F38" s="19" t="s">
        <v>111</v>
      </c>
      <c r="G38" s="18"/>
      <c r="H38" s="18" t="s">
        <v>112</v>
      </c>
      <c r="I38" s="113">
        <f>I34/I37</f>
        <v>5.3482618310789229</v>
      </c>
      <c r="J38" s="18"/>
    </row>
    <row r="39" spans="1:10">
      <c r="A39" s="19"/>
      <c r="B39" s="27" t="s">
        <v>113</v>
      </c>
      <c r="C39" s="28" t="s">
        <v>105</v>
      </c>
      <c r="D39" s="32">
        <v>0.15</v>
      </c>
      <c r="E39" s="19" t="s">
        <v>52</v>
      </c>
      <c r="F39" s="19" t="s">
        <v>114</v>
      </c>
      <c r="G39" s="18"/>
      <c r="H39" s="18"/>
      <c r="I39" s="18"/>
      <c r="J39" s="18"/>
    </row>
    <row r="40" spans="1:10">
      <c r="A40" s="19"/>
      <c r="B40" s="27" t="s">
        <v>115</v>
      </c>
      <c r="C40" s="28" t="s">
        <v>105</v>
      </c>
      <c r="D40" s="38">
        <v>2</v>
      </c>
      <c r="E40" s="19" t="s">
        <v>95</v>
      </c>
      <c r="F40" s="19" t="s">
        <v>116</v>
      </c>
      <c r="G40" s="18"/>
      <c r="H40" s="25" t="s">
        <v>117</v>
      </c>
      <c r="I40" s="18"/>
      <c r="J40" s="18"/>
    </row>
    <row r="41" spans="1:10">
      <c r="H41" t="s">
        <v>118</v>
      </c>
    </row>
    <row r="42" spans="1:10">
      <c r="H42" t="s">
        <v>119</v>
      </c>
    </row>
    <row r="43" spans="1:10">
      <c r="H43" t="s">
        <v>120</v>
      </c>
    </row>
    <row r="44" spans="1:10">
      <c r="H44" t="s">
        <v>121</v>
      </c>
    </row>
    <row r="45" spans="1:10">
      <c r="H45" t="s">
        <v>122</v>
      </c>
    </row>
    <row r="46" spans="1:10">
      <c r="H46" t="s">
        <v>123</v>
      </c>
    </row>
    <row r="47" spans="1:10">
      <c r="H47" t="s">
        <v>124</v>
      </c>
    </row>
    <row r="48" spans="1:10">
      <c r="H48" t="s">
        <v>125</v>
      </c>
    </row>
    <row r="49" spans="8:8">
      <c r="H49" t="s">
        <v>126</v>
      </c>
    </row>
    <row r="50" spans="8:8">
      <c r="H50" t="s">
        <v>127</v>
      </c>
    </row>
    <row r="51" spans="8:8">
      <c r="H51" t="s">
        <v>128</v>
      </c>
    </row>
  </sheetData>
  <mergeCells count="6">
    <mergeCell ref="A35:F35"/>
    <mergeCell ref="A20:F20"/>
    <mergeCell ref="A12:F12"/>
    <mergeCell ref="A3:F3"/>
    <mergeCell ref="A1:F1"/>
    <mergeCell ref="A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B236-4FED-49CD-87B0-62BBB3371227}">
  <dimension ref="A2:E89"/>
  <sheetViews>
    <sheetView topLeftCell="A23" workbookViewId="0">
      <selection activeCell="A18" sqref="A18:E18"/>
    </sheetView>
  </sheetViews>
  <sheetFormatPr defaultRowHeight="15"/>
  <cols>
    <col min="1" max="1" width="36" customWidth="1"/>
    <col min="2" max="2" width="12.5703125" customWidth="1"/>
    <col min="3" max="3" width="12.85546875" customWidth="1"/>
    <col min="4" max="4" width="13" customWidth="1"/>
    <col min="5" max="5" width="35.85546875" customWidth="1"/>
  </cols>
  <sheetData>
    <row r="2" spans="1:5" ht="27" customHeight="1">
      <c r="A2" s="152" t="s">
        <v>129</v>
      </c>
      <c r="B2" s="152"/>
      <c r="C2" s="152"/>
      <c r="D2" s="152"/>
      <c r="E2" s="152"/>
    </row>
    <row r="3" spans="1:5">
      <c r="A3" s="18"/>
      <c r="B3" s="18"/>
      <c r="C3" s="18"/>
      <c r="D3" s="18"/>
      <c r="E3" s="18"/>
    </row>
    <row r="4" spans="1:5" ht="24" customHeight="1">
      <c r="A4" s="26" t="s">
        <v>130</v>
      </c>
      <c r="B4" s="48" t="s">
        <v>131</v>
      </c>
      <c r="C4" s="48" t="s">
        <v>132</v>
      </c>
      <c r="D4" s="48" t="s">
        <v>133</v>
      </c>
      <c r="E4" s="138" t="s">
        <v>134</v>
      </c>
    </row>
    <row r="5" spans="1:5">
      <c r="A5" s="18"/>
      <c r="B5" s="18"/>
      <c r="C5" s="18"/>
      <c r="D5" s="18"/>
      <c r="E5" s="18"/>
    </row>
    <row r="6" spans="1:5" ht="21.75" customHeight="1">
      <c r="A6" s="145" t="s">
        <v>135</v>
      </c>
      <c r="B6" s="145"/>
      <c r="C6" s="145"/>
      <c r="D6" s="145"/>
      <c r="E6" s="145"/>
    </row>
    <row r="7" spans="1:5">
      <c r="A7" s="59" t="s">
        <v>136</v>
      </c>
      <c r="B7" s="30">
        <v>4178.9979999999996</v>
      </c>
      <c r="C7" s="30">
        <v>4293.4769999999999</v>
      </c>
      <c r="D7" s="30">
        <v>4354.0870000000004</v>
      </c>
      <c r="E7" s="43" t="s">
        <v>137</v>
      </c>
    </row>
    <row r="8" spans="1:5">
      <c r="A8" s="59" t="s">
        <v>138</v>
      </c>
      <c r="B8" s="30">
        <v>473.82600000000002</v>
      </c>
      <c r="C8" s="30">
        <v>604.96900000000005</v>
      </c>
      <c r="D8" s="30">
        <v>774.52</v>
      </c>
      <c r="E8" s="27" t="s">
        <v>137</v>
      </c>
    </row>
    <row r="9" spans="1:5">
      <c r="A9" s="54" t="s">
        <v>139</v>
      </c>
      <c r="B9" s="55">
        <f>B7 + B8</f>
        <v>4652.8239999999996</v>
      </c>
      <c r="C9" s="55">
        <f t="shared" ref="C9:E9" si="0">C7 + C8</f>
        <v>4898.4459999999999</v>
      </c>
      <c r="D9" s="55">
        <f t="shared" si="0"/>
        <v>5128.607</v>
      </c>
      <c r="E9" s="45"/>
    </row>
    <row r="10" spans="1:5">
      <c r="A10" s="27" t="s">
        <v>28</v>
      </c>
      <c r="B10" s="28" t="s">
        <v>105</v>
      </c>
      <c r="C10" s="49">
        <f>C9/B9-1</f>
        <v>5.2789875568042266E-2</v>
      </c>
      <c r="D10" s="49">
        <f>D9/C9-1</f>
        <v>4.6986534096731924E-2</v>
      </c>
      <c r="E10" s="27" t="s">
        <v>140</v>
      </c>
    </row>
    <row r="11" spans="1:5" ht="13.5" customHeight="1">
      <c r="A11" s="27"/>
      <c r="B11" s="28"/>
      <c r="C11" s="28"/>
      <c r="D11" s="28"/>
      <c r="E11" s="18"/>
    </row>
    <row r="12" spans="1:5" ht="21.75" customHeight="1">
      <c r="A12" s="149" t="s">
        <v>141</v>
      </c>
      <c r="B12" s="147"/>
      <c r="C12" s="147"/>
      <c r="D12" s="147"/>
      <c r="E12" s="148"/>
    </row>
    <row r="13" spans="1:5">
      <c r="A13" s="59" t="s">
        <v>142</v>
      </c>
      <c r="B13" s="30">
        <v>1178.961</v>
      </c>
      <c r="C13" s="30">
        <v>1208.0640000000001</v>
      </c>
      <c r="D13" s="30">
        <v>1308.9010000000001</v>
      </c>
      <c r="E13" s="18" t="s">
        <v>137</v>
      </c>
    </row>
    <row r="14" spans="1:5">
      <c r="A14" s="59" t="s">
        <v>143</v>
      </c>
      <c r="B14" s="30">
        <v>1335.4839999999999</v>
      </c>
      <c r="C14" s="30">
        <v>1342.798</v>
      </c>
      <c r="D14" s="30">
        <v>1367.2159999999999</v>
      </c>
      <c r="E14" s="18"/>
    </row>
    <row r="15" spans="1:5">
      <c r="A15" s="56" t="s">
        <v>144</v>
      </c>
      <c r="B15" s="55">
        <f>B13 + B14</f>
        <v>2514.4449999999997</v>
      </c>
      <c r="C15" s="55">
        <f t="shared" ref="C15:D15" si="1">C13 + C14</f>
        <v>2550.8620000000001</v>
      </c>
      <c r="D15" s="55">
        <f t="shared" si="1"/>
        <v>2676.1170000000002</v>
      </c>
      <c r="E15" s="18" t="s">
        <v>145</v>
      </c>
    </row>
    <row r="16" spans="1:5">
      <c r="A16" s="27" t="s">
        <v>146</v>
      </c>
      <c r="B16" s="49">
        <f>B15/B9</f>
        <v>0.54041266121392084</v>
      </c>
      <c r="C16" s="49">
        <f t="shared" ref="C16:D16" si="2">C15/C9</f>
        <v>0.52074923353243052</v>
      </c>
      <c r="D16" s="49">
        <f t="shared" si="2"/>
        <v>0.52180192399222636</v>
      </c>
      <c r="E16" s="18" t="s">
        <v>147</v>
      </c>
    </row>
    <row r="17" spans="1:5">
      <c r="A17" s="27"/>
      <c r="B17" s="28"/>
      <c r="C17" s="28"/>
      <c r="D17" s="28"/>
      <c r="E17" s="18"/>
    </row>
    <row r="18" spans="1:5" ht="21.75" customHeight="1">
      <c r="A18" s="149" t="s">
        <v>148</v>
      </c>
      <c r="B18" s="147"/>
      <c r="C18" s="147"/>
      <c r="D18" s="147"/>
      <c r="E18" s="148"/>
    </row>
    <row r="19" spans="1:5">
      <c r="A19" s="41" t="s">
        <v>149</v>
      </c>
      <c r="B19" s="30">
        <v>1657.7260000000001</v>
      </c>
      <c r="C19" s="30">
        <v>1884.8989999999999</v>
      </c>
      <c r="D19" s="30">
        <v>1884.163</v>
      </c>
      <c r="E19" s="46" t="s">
        <v>150</v>
      </c>
    </row>
    <row r="20" spans="1:5">
      <c r="A20" s="59" t="s">
        <v>151</v>
      </c>
      <c r="B20" s="30">
        <v>630.53499999999997</v>
      </c>
      <c r="C20" s="30">
        <v>523.14599999999996</v>
      </c>
      <c r="D20" s="30">
        <v>395.98599999999999</v>
      </c>
      <c r="E20" s="46" t="s">
        <v>137</v>
      </c>
    </row>
    <row r="21" spans="1:5">
      <c r="A21" s="59" t="s">
        <v>152</v>
      </c>
      <c r="B21" s="30">
        <v>176.35300000000001</v>
      </c>
      <c r="C21" s="30">
        <v>163.80500000000001</v>
      </c>
      <c r="D21" s="30">
        <v>175.74700000000001</v>
      </c>
      <c r="E21" s="46" t="s">
        <v>153</v>
      </c>
    </row>
    <row r="22" spans="1:5">
      <c r="A22" s="54" t="s">
        <v>154</v>
      </c>
      <c r="B22" s="55">
        <f>B20 + B21</f>
        <v>806.88799999999992</v>
      </c>
      <c r="C22" s="55">
        <f t="shared" ref="C22:D22" si="3">C20 + C21</f>
        <v>686.95100000000002</v>
      </c>
      <c r="D22" s="55">
        <f t="shared" si="3"/>
        <v>571.73299999999995</v>
      </c>
      <c r="E22" s="18" t="s">
        <v>155</v>
      </c>
    </row>
    <row r="23" spans="1:5">
      <c r="A23" s="27" t="s">
        <v>45</v>
      </c>
      <c r="B23" s="49">
        <f>B22 / B9</f>
        <v>0.17341898167650441</v>
      </c>
      <c r="C23" s="49">
        <f t="shared" ref="C23:D23" si="4">C22 / C9</f>
        <v>0.14023855728939341</v>
      </c>
      <c r="D23" s="49">
        <f t="shared" si="4"/>
        <v>0.11147919893257564</v>
      </c>
      <c r="E23" s="18" t="s">
        <v>156</v>
      </c>
    </row>
    <row r="24" spans="1:5">
      <c r="A24" s="27"/>
      <c r="B24" s="28"/>
      <c r="C24" s="28"/>
      <c r="D24" s="28"/>
      <c r="E24" s="18"/>
    </row>
    <row r="25" spans="1:5" ht="21.75" customHeight="1">
      <c r="A25" s="149" t="s">
        <v>157</v>
      </c>
      <c r="B25" s="147"/>
      <c r="C25" s="147"/>
      <c r="D25" s="147"/>
      <c r="E25" s="148"/>
    </row>
    <row r="26" spans="1:5">
      <c r="A26" s="41" t="s">
        <v>158</v>
      </c>
      <c r="B26" s="30">
        <v>604.38300000000004</v>
      </c>
      <c r="C26" s="30">
        <v>815.17</v>
      </c>
      <c r="D26" s="30">
        <v>833.81200000000001</v>
      </c>
      <c r="E26" s="27" t="s">
        <v>137</v>
      </c>
    </row>
    <row r="27" spans="1:5">
      <c r="A27" s="41" t="s">
        <v>159</v>
      </c>
      <c r="B27" s="30">
        <v>160.58500000000001</v>
      </c>
      <c r="C27" s="30">
        <v>195.78</v>
      </c>
      <c r="D27" s="30">
        <v>233.29400000000001</v>
      </c>
      <c r="E27" s="27" t="s">
        <v>137</v>
      </c>
    </row>
    <row r="28" spans="1:5">
      <c r="A28" s="44" t="s">
        <v>160</v>
      </c>
      <c r="B28" s="50">
        <f>B27/B26</f>
        <v>0.26570072288598456</v>
      </c>
      <c r="C28" s="50">
        <f t="shared" ref="C28:D28" si="5">C27/C26</f>
        <v>0.24017076192696005</v>
      </c>
      <c r="D28" s="50">
        <f t="shared" si="5"/>
        <v>0.27979208742498307</v>
      </c>
      <c r="E28" s="18"/>
    </row>
    <row r="29" spans="1:5">
      <c r="A29" s="27"/>
      <c r="B29" s="28"/>
      <c r="C29" s="28"/>
      <c r="D29" s="28"/>
      <c r="E29" s="18"/>
    </row>
    <row r="30" spans="1:5" ht="21.75" customHeight="1">
      <c r="A30" s="149" t="s">
        <v>161</v>
      </c>
      <c r="B30" s="147"/>
      <c r="C30" s="147"/>
      <c r="D30" s="147"/>
      <c r="E30" s="148"/>
    </row>
    <row r="31" spans="1:5">
      <c r="A31" s="59" t="s">
        <v>162</v>
      </c>
      <c r="B31" s="30">
        <v>370.20100000000002</v>
      </c>
      <c r="C31" s="30">
        <v>393.51100000000002</v>
      </c>
      <c r="D31" s="30">
        <v>384.90899999999999</v>
      </c>
      <c r="E31" s="46" t="s">
        <v>163</v>
      </c>
    </row>
    <row r="32" spans="1:5">
      <c r="A32" s="59" t="s">
        <v>164</v>
      </c>
      <c r="B32" s="30">
        <v>201.39400000000001</v>
      </c>
      <c r="C32" s="30">
        <v>196.73099999999999</v>
      </c>
      <c r="D32" s="30">
        <v>201.77799999999999</v>
      </c>
      <c r="E32" s="46" t="s">
        <v>163</v>
      </c>
    </row>
    <row r="33" spans="1:5">
      <c r="A33" s="59" t="s">
        <v>165</v>
      </c>
      <c r="B33" s="30">
        <v>277.20100000000002</v>
      </c>
      <c r="C33" s="30">
        <v>153.53700000000001</v>
      </c>
      <c r="D33" s="30">
        <v>106.98</v>
      </c>
      <c r="E33" s="46" t="s">
        <v>163</v>
      </c>
    </row>
    <row r="34" spans="1:5">
      <c r="A34" s="59" t="s">
        <v>166</v>
      </c>
      <c r="B34" s="30">
        <v>255.221</v>
      </c>
      <c r="C34" s="30">
        <v>247.785</v>
      </c>
      <c r="D34" s="30">
        <v>243.72399999999999</v>
      </c>
      <c r="E34" s="46" t="s">
        <v>167</v>
      </c>
    </row>
    <row r="35" spans="1:5">
      <c r="A35" s="54" t="s">
        <v>168</v>
      </c>
      <c r="B35" s="55">
        <f>B31 + B32 - B33 -B34</f>
        <v>39.173000000000002</v>
      </c>
      <c r="C35" s="55">
        <f t="shared" ref="C35:D35" si="6">C31 + C32 - C33 -C34</f>
        <v>188.91999999999993</v>
      </c>
      <c r="D35" s="55">
        <f t="shared" si="6"/>
        <v>235.983</v>
      </c>
      <c r="E35" s="18"/>
    </row>
    <row r="36" spans="1:5">
      <c r="A36" s="27" t="s">
        <v>169</v>
      </c>
      <c r="B36" s="49">
        <f>B35/B9</f>
        <v>8.4191880028129159E-3</v>
      </c>
      <c r="C36" s="49">
        <f t="shared" ref="C36:D36" si="7">C35/C9</f>
        <v>3.8567333395121625E-2</v>
      </c>
      <c r="D36" s="49">
        <f t="shared" si="7"/>
        <v>4.6013079185049661E-2</v>
      </c>
      <c r="E36" s="18"/>
    </row>
    <row r="37" spans="1:5">
      <c r="A37" s="27" t="s">
        <v>170</v>
      </c>
      <c r="B37" s="28" t="s">
        <v>105</v>
      </c>
      <c r="C37" s="51">
        <f>C35 - B35</f>
        <v>149.74699999999993</v>
      </c>
      <c r="D37" s="51">
        <f>D35 - C35</f>
        <v>47.063000000000073</v>
      </c>
      <c r="E37" s="18"/>
    </row>
    <row r="38" spans="1:5">
      <c r="A38" s="27"/>
      <c r="B38" s="28"/>
      <c r="C38" s="52"/>
      <c r="D38" s="52"/>
      <c r="E38" s="18"/>
    </row>
    <row r="39" spans="1:5" ht="21.75" customHeight="1">
      <c r="A39" s="149" t="s">
        <v>171</v>
      </c>
      <c r="B39" s="147"/>
      <c r="C39" s="147"/>
      <c r="D39" s="147"/>
      <c r="E39" s="148"/>
    </row>
    <row r="40" spans="1:5">
      <c r="A40" s="59" t="s">
        <v>172</v>
      </c>
      <c r="B40" s="30">
        <v>14.621</v>
      </c>
      <c r="C40" s="30">
        <v>96.212000000000003</v>
      </c>
      <c r="D40" s="30">
        <v>80.816999999999993</v>
      </c>
      <c r="E40" s="46" t="s">
        <v>173</v>
      </c>
    </row>
    <row r="41" spans="1:5">
      <c r="A41" s="59" t="s">
        <v>174</v>
      </c>
      <c r="B41" s="30">
        <v>7936.54</v>
      </c>
      <c r="C41" s="30">
        <v>7791.9030000000002</v>
      </c>
      <c r="D41" s="30">
        <v>7799.2079999999996</v>
      </c>
      <c r="E41" s="18" t="s">
        <v>175</v>
      </c>
    </row>
    <row r="42" spans="1:5">
      <c r="A42" s="27" t="s">
        <v>176</v>
      </c>
      <c r="B42" s="53">
        <f>B41 / B15</f>
        <v>3.1563784453428094</v>
      </c>
      <c r="C42" s="53">
        <f t="shared" ref="C42:D42" si="8">C41 / C15</f>
        <v>3.0546156554137385</v>
      </c>
      <c r="D42" s="53">
        <f t="shared" si="8"/>
        <v>2.9143748199350026</v>
      </c>
      <c r="E42" s="18" t="s">
        <v>177</v>
      </c>
    </row>
    <row r="43" spans="1:5">
      <c r="A43" s="54" t="s">
        <v>178</v>
      </c>
      <c r="B43" s="55">
        <f>B41-B40</f>
        <v>7921.9189999999999</v>
      </c>
      <c r="C43" s="55">
        <f t="shared" ref="C43:D43" si="9">C41-C40</f>
        <v>7695.6909999999998</v>
      </c>
      <c r="D43" s="55">
        <f t="shared" si="9"/>
        <v>7718.3909999999996</v>
      </c>
      <c r="E43" s="18" t="s">
        <v>179</v>
      </c>
    </row>
    <row r="44" spans="1:5">
      <c r="A44" s="27" t="s">
        <v>180</v>
      </c>
      <c r="B44" s="53">
        <f>B43/B15</f>
        <v>3.1505636432691908</v>
      </c>
      <c r="C44" s="53">
        <f t="shared" ref="C44:D44" si="10">C43/C15</f>
        <v>3.0168982093112051</v>
      </c>
      <c r="D44" s="53">
        <f>D43/D15</f>
        <v>2.8841754676645301</v>
      </c>
      <c r="E44" s="18" t="s">
        <v>181</v>
      </c>
    </row>
    <row r="45" spans="1:5">
      <c r="A45" s="59" t="s">
        <v>182</v>
      </c>
      <c r="B45" s="30">
        <v>522.77499999999998</v>
      </c>
      <c r="C45" s="30">
        <v>372.036</v>
      </c>
      <c r="D45" s="30">
        <v>409.41500000000002</v>
      </c>
      <c r="E45" s="46" t="s">
        <v>183</v>
      </c>
    </row>
    <row r="47" spans="1:5">
      <c r="A47" s="84" t="s">
        <v>184</v>
      </c>
    </row>
    <row r="48" spans="1:5">
      <c r="D48" t="s">
        <v>185</v>
      </c>
      <c r="E48" t="s">
        <v>186</v>
      </c>
    </row>
    <row r="49" spans="1:5">
      <c r="A49" t="s">
        <v>187</v>
      </c>
      <c r="D49" s="95">
        <v>595.95100000000002</v>
      </c>
      <c r="E49" t="s">
        <v>120</v>
      </c>
    </row>
    <row r="50" spans="1:5">
      <c r="A50" t="s">
        <v>188</v>
      </c>
      <c r="D50" s="95">
        <v>1367.2339999999999</v>
      </c>
    </row>
    <row r="51" spans="1:5">
      <c r="A51" t="s">
        <v>189</v>
      </c>
      <c r="D51" s="95">
        <v>252.553</v>
      </c>
    </row>
    <row r="52" spans="1:5">
      <c r="A52" t="s">
        <v>190</v>
      </c>
      <c r="D52" s="95">
        <v>-358.41300000000001</v>
      </c>
    </row>
    <row r="53" spans="1:5">
      <c r="A53" t="s">
        <v>191</v>
      </c>
      <c r="D53" s="95">
        <v>54.552999999999997</v>
      </c>
    </row>
    <row r="54" spans="1:5">
      <c r="A54" t="s">
        <v>192</v>
      </c>
      <c r="D54" s="95">
        <v>141.654</v>
      </c>
    </row>
    <row r="55" spans="1:5">
      <c r="A55" t="s">
        <v>193</v>
      </c>
      <c r="D55" s="95">
        <v>201.82499999999999</v>
      </c>
    </row>
    <row r="56" spans="1:5">
      <c r="A56" t="s">
        <v>194</v>
      </c>
      <c r="D56" s="95">
        <v>18.850000000000001</v>
      </c>
    </row>
    <row r="57" spans="1:5">
      <c r="A57" t="s">
        <v>195</v>
      </c>
      <c r="D57" s="95">
        <v>15.129</v>
      </c>
    </row>
    <row r="58" spans="1:5">
      <c r="A58" t="s">
        <v>196</v>
      </c>
      <c r="D58" s="95">
        <v>0</v>
      </c>
    </row>
    <row r="59" spans="1:5">
      <c r="A59" t="s">
        <v>197</v>
      </c>
      <c r="D59" s="95">
        <v>71.444999999999993</v>
      </c>
    </row>
    <row r="60" spans="1:5">
      <c r="A60" t="s">
        <v>198</v>
      </c>
      <c r="D60" s="95">
        <v>72.846000000000004</v>
      </c>
    </row>
    <row r="61" spans="1:5">
      <c r="A61" t="s">
        <v>199</v>
      </c>
      <c r="D61" s="95">
        <v>-143.66800000000001</v>
      </c>
    </row>
    <row r="62" spans="1:5">
      <c r="A62" t="s">
        <v>200</v>
      </c>
      <c r="D62" s="95">
        <v>140.56399999999999</v>
      </c>
    </row>
    <row r="63" spans="1:5">
      <c r="A63" t="s">
        <v>201</v>
      </c>
      <c r="D63" s="95">
        <v>-40.578000000000003</v>
      </c>
    </row>
    <row r="64" spans="1:5">
      <c r="A64" t="s">
        <v>202</v>
      </c>
      <c r="D64" s="95">
        <v>-51.817999999999998</v>
      </c>
    </row>
    <row r="65" spans="1:5">
      <c r="A65" t="s">
        <v>203</v>
      </c>
      <c r="D65" s="95">
        <v>-115.13</v>
      </c>
    </row>
    <row r="66" spans="1:5">
      <c r="A66" t="s">
        <v>204</v>
      </c>
      <c r="D66" s="95">
        <v>-102.932</v>
      </c>
    </row>
    <row r="67" spans="1:5">
      <c r="A67" t="s">
        <v>205</v>
      </c>
      <c r="D67" s="95">
        <v>-380.529</v>
      </c>
    </row>
    <row r="68" spans="1:5">
      <c r="A68" t="s">
        <v>206</v>
      </c>
      <c r="D68" s="95">
        <v>224.78299999999999</v>
      </c>
    </row>
    <row r="69" spans="1:5">
      <c r="A69" t="s">
        <v>207</v>
      </c>
      <c r="D69" s="95">
        <v>-80.156000000000006</v>
      </c>
    </row>
    <row r="70" spans="1:5">
      <c r="A70" t="s">
        <v>208</v>
      </c>
      <c r="D70" s="96">
        <f>SUM(D49:D69)</f>
        <v>1884.1629999999991</v>
      </c>
    </row>
    <row r="71" spans="1:5">
      <c r="A71" t="s">
        <v>209</v>
      </c>
      <c r="D71" s="96">
        <f>D19</f>
        <v>1884.163</v>
      </c>
    </row>
    <row r="72" spans="1:5">
      <c r="A72" t="s">
        <v>210</v>
      </c>
      <c r="D72" s="16">
        <f>D70-D71</f>
        <v>0</v>
      </c>
    </row>
    <row r="73" spans="1:5">
      <c r="A73" t="s">
        <v>211</v>
      </c>
      <c r="D73" s="95">
        <v>596.48299999999995</v>
      </c>
    </row>
    <row r="74" spans="1:5">
      <c r="A74" t="s">
        <v>212</v>
      </c>
      <c r="D74" s="96">
        <f>D20</f>
        <v>395.98599999999999</v>
      </c>
    </row>
    <row r="75" spans="1:5">
      <c r="A75" t="s">
        <v>213</v>
      </c>
      <c r="D75" s="96">
        <f>D21</f>
        <v>175.74700000000001</v>
      </c>
    </row>
    <row r="76" spans="1:5">
      <c r="A76" t="s">
        <v>214</v>
      </c>
      <c r="D76" s="96">
        <f>D70-SUM(D73:D75)</f>
        <v>715.94699999999921</v>
      </c>
    </row>
    <row r="77" spans="1:5">
      <c r="A77" t="s">
        <v>215</v>
      </c>
      <c r="D77" s="96">
        <f>SUM(D51:D52,D67:D68)</f>
        <v>-261.60599999999999</v>
      </c>
      <c r="E77" t="s">
        <v>216</v>
      </c>
    </row>
    <row r="78" spans="1:5">
      <c r="A78" t="s">
        <v>217</v>
      </c>
      <c r="D78" s="6">
        <f>D73/D9</f>
        <v>0.11630507075313042</v>
      </c>
    </row>
    <row r="79" spans="1:5">
      <c r="A79" t="s">
        <v>218</v>
      </c>
      <c r="D79" s="6">
        <f>D51/D9</f>
        <v>4.9243975995821088E-2</v>
      </c>
    </row>
    <row r="80" spans="1:5">
      <c r="A80" t="s">
        <v>219</v>
      </c>
      <c r="D80" s="6">
        <f>-D52/D9</f>
        <v>6.9885058457393984E-2</v>
      </c>
    </row>
    <row r="81" spans="1:5">
      <c r="A81" t="s">
        <v>220</v>
      </c>
      <c r="D81" s="6">
        <f>-D67/D9</f>
        <v>7.419734052540973E-2</v>
      </c>
    </row>
    <row r="82" spans="1:5">
      <c r="A82" t="s">
        <v>221</v>
      </c>
      <c r="D82" s="6">
        <f>D68/D9</f>
        <v>4.382925032079861E-2</v>
      </c>
    </row>
    <row r="83" spans="1:5">
      <c r="A83" t="s">
        <v>222</v>
      </c>
      <c r="D83" s="96">
        <f>D31+D32-D33</f>
        <v>479.70699999999999</v>
      </c>
      <c r="E83" t="s">
        <v>223</v>
      </c>
    </row>
    <row r="84" spans="1:5">
      <c r="A84" t="s">
        <v>224</v>
      </c>
      <c r="D84" s="6">
        <f>D83/D9</f>
        <v>9.3535535087792845E-2</v>
      </c>
    </row>
    <row r="86" spans="1:5">
      <c r="E86" t="s">
        <v>225</v>
      </c>
    </row>
    <row r="87" spans="1:5">
      <c r="E87" t="s">
        <v>120</v>
      </c>
    </row>
    <row r="88" spans="1:5">
      <c r="E88" t="s">
        <v>226</v>
      </c>
    </row>
    <row r="89" spans="1:5">
      <c r="E89" t="s">
        <v>227</v>
      </c>
    </row>
  </sheetData>
  <mergeCells count="7">
    <mergeCell ref="A2:E2"/>
    <mergeCell ref="A39:E39"/>
    <mergeCell ref="A30:E30"/>
    <mergeCell ref="A6:E6"/>
    <mergeCell ref="A12:E12"/>
    <mergeCell ref="A18:E18"/>
    <mergeCell ref="A25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8B1C-8F9B-431D-8123-D7F29A78FF38}">
  <dimension ref="A1:B24"/>
  <sheetViews>
    <sheetView workbookViewId="0">
      <selection activeCell="A30" sqref="A30"/>
    </sheetView>
  </sheetViews>
  <sheetFormatPr defaultRowHeight="15"/>
  <cols>
    <col min="1" max="1" width="68.5703125" customWidth="1"/>
    <col min="2" max="2" width="21" customWidth="1"/>
  </cols>
  <sheetData>
    <row r="1" spans="1:2">
      <c r="A1" s="101" t="s">
        <v>228</v>
      </c>
      <c r="B1" s="101" t="s">
        <v>185</v>
      </c>
    </row>
    <row r="2" spans="1:2">
      <c r="A2" t="s">
        <v>229</v>
      </c>
      <c r="B2" s="102">
        <v>600.51800000000003</v>
      </c>
    </row>
    <row r="3" spans="1:2">
      <c r="A3" t="s">
        <v>230</v>
      </c>
      <c r="B3" s="102">
        <v>459.26600000000002</v>
      </c>
    </row>
    <row r="4" spans="1:2">
      <c r="A4" t="s">
        <v>231</v>
      </c>
      <c r="B4" s="102">
        <v>233.29400000000001</v>
      </c>
    </row>
    <row r="5" spans="1:2">
      <c r="A5" t="s">
        <v>232</v>
      </c>
      <c r="B5" s="102">
        <v>1367.2159999999999</v>
      </c>
    </row>
    <row r="6" spans="1:2">
      <c r="A6" t="s">
        <v>233</v>
      </c>
      <c r="B6" s="102">
        <v>252.553</v>
      </c>
    </row>
    <row r="7" spans="1:2">
      <c r="A7" t="s">
        <v>234</v>
      </c>
      <c r="B7" s="102">
        <v>-358.41300000000001</v>
      </c>
    </row>
    <row r="8" spans="1:2">
      <c r="A8" t="s">
        <v>191</v>
      </c>
      <c r="B8" s="102">
        <v>54.552999999999997</v>
      </c>
    </row>
    <row r="9" spans="1:2">
      <c r="A9" t="s">
        <v>235</v>
      </c>
      <c r="B9" s="102">
        <v>13.145</v>
      </c>
    </row>
    <row r="10" spans="1:2">
      <c r="A10" t="s">
        <v>236</v>
      </c>
      <c r="B10" s="102">
        <v>12.023</v>
      </c>
    </row>
    <row r="11" spans="1:2">
      <c r="A11" t="s">
        <v>237</v>
      </c>
      <c r="B11" s="102">
        <v>15.461</v>
      </c>
    </row>
    <row r="12" spans="1:2">
      <c r="A12" t="s">
        <v>194</v>
      </c>
      <c r="B12" s="102">
        <v>18.850000000000001</v>
      </c>
    </row>
    <row r="13" spans="1:2">
      <c r="A13" t="s">
        <v>238</v>
      </c>
      <c r="B13" s="102">
        <v>11.91</v>
      </c>
    </row>
    <row r="14" spans="1:2">
      <c r="A14" s="103" t="s">
        <v>239</v>
      </c>
      <c r="B14" s="104">
        <f>SUM(B2:B13)</f>
        <v>2680.3759999999993</v>
      </c>
    </row>
    <row r="15" spans="1:2">
      <c r="A15" t="s">
        <v>240</v>
      </c>
      <c r="B15" s="102">
        <v>2680.3760000000002</v>
      </c>
    </row>
    <row r="16" spans="1:2">
      <c r="A16" s="105" t="s">
        <v>241</v>
      </c>
      <c r="B16" s="106">
        <f>B14-B15</f>
        <v>0</v>
      </c>
    </row>
    <row r="17" spans="1:2">
      <c r="A17" t="s">
        <v>242</v>
      </c>
      <c r="B17" s="107">
        <f>Historical!D15</f>
        <v>2676.1170000000002</v>
      </c>
    </row>
    <row r="18" spans="1:2">
      <c r="A18" s="103" t="s">
        <v>243</v>
      </c>
      <c r="B18" s="104">
        <f>B14-B17</f>
        <v>4.2589999999991051</v>
      </c>
    </row>
    <row r="20" spans="1:2">
      <c r="A20" s="108" t="s">
        <v>244</v>
      </c>
    </row>
    <row r="21" spans="1:2">
      <c r="A21" s="108" t="s">
        <v>120</v>
      </c>
    </row>
    <row r="22" spans="1:2">
      <c r="A22" s="108"/>
    </row>
    <row r="23" spans="1:2">
      <c r="A23" s="108" t="s">
        <v>245</v>
      </c>
    </row>
    <row r="24" spans="1:2">
      <c r="A24" s="108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27DC-C5A8-4E52-B0B8-AB102CA90856}">
  <dimension ref="A2:H34"/>
  <sheetViews>
    <sheetView topLeftCell="F18" workbookViewId="0">
      <selection activeCell="I41" sqref="I41"/>
    </sheetView>
  </sheetViews>
  <sheetFormatPr defaultRowHeight="15"/>
  <cols>
    <col min="1" max="1" width="41.85546875" customWidth="1"/>
    <col min="2" max="2" width="20.42578125" customWidth="1"/>
    <col min="3" max="3" width="20.140625" customWidth="1"/>
    <col min="4" max="4" width="19.5703125" customWidth="1"/>
    <col min="5" max="5" width="22.5703125" customWidth="1"/>
    <col min="6" max="6" width="19.5703125" customWidth="1"/>
    <col min="7" max="7" width="18.85546875" customWidth="1"/>
    <col min="8" max="8" width="18.5703125" customWidth="1"/>
  </cols>
  <sheetData>
    <row r="2" spans="1:8" ht="27" customHeight="1">
      <c r="A2" s="153" t="s">
        <v>247</v>
      </c>
      <c r="B2" s="153"/>
      <c r="C2" s="153"/>
      <c r="D2" s="153"/>
      <c r="E2" s="153"/>
      <c r="F2" s="153"/>
      <c r="G2" s="153"/>
      <c r="H2" s="153"/>
    </row>
    <row r="3" spans="1:8">
      <c r="A3" s="18"/>
      <c r="B3" s="18"/>
      <c r="C3" s="18"/>
      <c r="D3" s="18"/>
      <c r="E3" s="18"/>
      <c r="F3" s="18"/>
      <c r="G3" s="18"/>
      <c r="H3" s="18"/>
    </row>
    <row r="4" spans="1:8" ht="24" customHeight="1">
      <c r="A4" s="26" t="s">
        <v>130</v>
      </c>
      <c r="B4" s="26" t="s">
        <v>133</v>
      </c>
      <c r="C4" s="26" t="s">
        <v>248</v>
      </c>
      <c r="D4" s="26" t="s">
        <v>249</v>
      </c>
      <c r="E4" s="26" t="s">
        <v>250</v>
      </c>
      <c r="F4" s="26" t="s">
        <v>251</v>
      </c>
      <c r="G4" s="26" t="s">
        <v>252</v>
      </c>
      <c r="H4" s="26" t="s">
        <v>134</v>
      </c>
    </row>
    <row r="5" spans="1:8">
      <c r="A5" s="18"/>
      <c r="B5" s="18"/>
      <c r="C5" s="18"/>
      <c r="D5" s="18"/>
      <c r="E5" s="18"/>
      <c r="F5" s="18"/>
      <c r="G5" s="18"/>
      <c r="H5" s="18"/>
    </row>
    <row r="6" spans="1:8" ht="21.75" customHeight="1">
      <c r="A6" s="145" t="s">
        <v>135</v>
      </c>
      <c r="B6" s="148"/>
      <c r="C6" s="148"/>
      <c r="D6" s="148"/>
      <c r="E6" s="148"/>
      <c r="F6" s="148"/>
      <c r="G6" s="148"/>
      <c r="H6" s="148"/>
    </row>
    <row r="7" spans="1:8">
      <c r="A7" s="54" t="s">
        <v>139</v>
      </c>
      <c r="B7" s="58">
        <f>Historical!D9</f>
        <v>5128.607</v>
      </c>
      <c r="C7" s="58">
        <f>B7*(1 + Inputs!$D$13)</f>
        <v>5231.1791400000002</v>
      </c>
      <c r="D7" s="58">
        <f>C7*(1 + Inputs!$D$13)</f>
        <v>5335.8027228000001</v>
      </c>
      <c r="E7" s="58">
        <f>D7*(1 + Inputs!$D$13)</f>
        <v>5442.5187772560002</v>
      </c>
      <c r="F7" s="58">
        <f>E7*(1 + Inputs!$D$13)</f>
        <v>5551.3691528011204</v>
      </c>
      <c r="G7" s="58">
        <f>F7*(1 + Inputs!$D$13)</f>
        <v>5662.3965358571431</v>
      </c>
      <c r="H7" s="18"/>
    </row>
    <row r="8" spans="1:8">
      <c r="A8" s="59" t="s">
        <v>28</v>
      </c>
      <c r="B8" s="31">
        <f>B7/Historical!C9 -1</f>
        <v>4.6986534096731924E-2</v>
      </c>
      <c r="C8" s="49">
        <f>C7/B7 - 1</f>
        <v>2.0000000000000018E-2</v>
      </c>
      <c r="D8" s="49">
        <f t="shared" ref="D8:G8" si="0">D7/C7 - 1</f>
        <v>2.0000000000000018E-2</v>
      </c>
      <c r="E8" s="49">
        <f t="shared" si="0"/>
        <v>2.0000000000000018E-2</v>
      </c>
      <c r="F8" s="49">
        <f t="shared" si="0"/>
        <v>2.0000000000000018E-2</v>
      </c>
      <c r="G8" s="49">
        <f t="shared" si="0"/>
        <v>2.0000000000000018E-2</v>
      </c>
      <c r="H8" s="18"/>
    </row>
    <row r="9" spans="1:8">
      <c r="A9" s="27"/>
      <c r="B9" s="28"/>
      <c r="C9" s="28"/>
      <c r="D9" s="28"/>
      <c r="E9" s="28"/>
      <c r="F9" s="28"/>
      <c r="G9" s="28"/>
      <c r="H9" s="18"/>
    </row>
    <row r="10" spans="1:8" ht="21.75" customHeight="1">
      <c r="A10" s="149" t="s">
        <v>141</v>
      </c>
      <c r="B10" s="147"/>
      <c r="C10" s="147"/>
      <c r="D10" s="147"/>
      <c r="E10" s="147"/>
      <c r="F10" s="147"/>
      <c r="G10" s="147"/>
      <c r="H10" s="148"/>
    </row>
    <row r="11" spans="1:8">
      <c r="A11" s="54" t="s">
        <v>144</v>
      </c>
      <c r="B11" s="58">
        <f>Historical!$D$15</f>
        <v>2676.1170000000002</v>
      </c>
      <c r="C11" s="58">
        <f>C7*Inputs!$D$14</f>
        <v>2510.9659872000002</v>
      </c>
      <c r="D11" s="58">
        <f>D7*Inputs!$D$14</f>
        <v>2561.1853069439999</v>
      </c>
      <c r="E11" s="58">
        <f>E7*Inputs!$D$14</f>
        <v>2612.4090130828799</v>
      </c>
      <c r="F11" s="58">
        <f>F7*Inputs!$D$14</f>
        <v>2664.6571933445375</v>
      </c>
      <c r="G11" s="58">
        <f>G7*Inputs!$D$14</f>
        <v>2717.9503372114286</v>
      </c>
      <c r="H11" s="18"/>
    </row>
    <row r="12" spans="1:8">
      <c r="A12" s="59" t="s">
        <v>146</v>
      </c>
      <c r="B12" s="31">
        <f>Historical!D16</f>
        <v>0.52180192399222636</v>
      </c>
      <c r="C12" s="49">
        <f>C11/C7</f>
        <v>0.48000000000000004</v>
      </c>
      <c r="D12" s="49">
        <f t="shared" ref="D12:G12" si="1">D11/D7</f>
        <v>0.48</v>
      </c>
      <c r="E12" s="49">
        <f t="shared" si="1"/>
        <v>0.48</v>
      </c>
      <c r="F12" s="49">
        <f t="shared" si="1"/>
        <v>0.47999999999999993</v>
      </c>
      <c r="G12" s="49">
        <f t="shared" si="1"/>
        <v>0.48</v>
      </c>
      <c r="H12" s="18"/>
    </row>
    <row r="13" spans="1:8">
      <c r="A13" s="59" t="s">
        <v>253</v>
      </c>
      <c r="B13" s="57">
        <f>Historical!D14</f>
        <v>1367.2159999999999</v>
      </c>
      <c r="C13" s="57">
        <f>C7 * Inputs!$D$15</f>
        <v>1412.4183678000002</v>
      </c>
      <c r="D13" s="57">
        <f>D7 * Inputs!$D$15</f>
        <v>1440.6667351560002</v>
      </c>
      <c r="E13" s="57">
        <f>E7 * Inputs!$D$15</f>
        <v>1469.4800698591202</v>
      </c>
      <c r="F13" s="57">
        <f>F7 * Inputs!$D$15</f>
        <v>1498.8696712563026</v>
      </c>
      <c r="G13" s="57">
        <f>G7 * Inputs!$D$15</f>
        <v>1528.8470646814287</v>
      </c>
      <c r="H13" s="18"/>
    </row>
    <row r="14" spans="1:8">
      <c r="A14" s="54" t="s">
        <v>254</v>
      </c>
      <c r="B14" s="58">
        <f>Historical!D13</f>
        <v>1308.9010000000001</v>
      </c>
      <c r="C14" s="55">
        <f>C11-C13</f>
        <v>1098.5476194</v>
      </c>
      <c r="D14" s="55">
        <f t="shared" ref="D14:G14" si="2">D11-D13</f>
        <v>1120.5185717879997</v>
      </c>
      <c r="E14" s="55">
        <f t="shared" si="2"/>
        <v>1142.9289432237597</v>
      </c>
      <c r="F14" s="55">
        <f t="shared" si="2"/>
        <v>1165.7875220882349</v>
      </c>
      <c r="G14" s="55">
        <f t="shared" si="2"/>
        <v>1189.1032725299999</v>
      </c>
      <c r="H14" s="18"/>
    </row>
    <row r="15" spans="1:8">
      <c r="A15" s="27"/>
      <c r="B15" s="28"/>
      <c r="C15" s="28"/>
      <c r="D15" s="28"/>
      <c r="E15" s="28"/>
      <c r="F15" s="28"/>
      <c r="G15" s="28"/>
      <c r="H15" s="18"/>
    </row>
    <row r="16" spans="1:8" ht="21.75" customHeight="1">
      <c r="A16" s="149" t="s">
        <v>255</v>
      </c>
      <c r="B16" s="150"/>
      <c r="C16" s="150"/>
      <c r="D16" s="150"/>
      <c r="E16" s="150"/>
      <c r="F16" s="150"/>
      <c r="G16" s="150"/>
      <c r="H16" s="145"/>
    </row>
    <row r="17" spans="1:8">
      <c r="A17" s="59" t="s">
        <v>51</v>
      </c>
      <c r="B17" s="31">
        <f>Historical!D28</f>
        <v>0.27979208742498307</v>
      </c>
      <c r="C17" s="31">
        <f>Inputs!$D$18</f>
        <v>0.27</v>
      </c>
      <c r="D17" s="31">
        <f>Inputs!$D$18</f>
        <v>0.27</v>
      </c>
      <c r="E17" s="31">
        <f>Inputs!$D$18</f>
        <v>0.27</v>
      </c>
      <c r="F17" s="31">
        <f>Inputs!$D$18</f>
        <v>0.27</v>
      </c>
      <c r="G17" s="31">
        <f>Inputs!$D$18</f>
        <v>0.27</v>
      </c>
      <c r="H17" s="18"/>
    </row>
    <row r="18" spans="1:8">
      <c r="A18" s="54" t="s">
        <v>256</v>
      </c>
      <c r="B18" s="55">
        <f>B14*(1-B17)</f>
        <v>942.68085697735228</v>
      </c>
      <c r="C18" s="55">
        <f>C14*(1-C17)</f>
        <v>801.93976216199997</v>
      </c>
      <c r="D18" s="55">
        <f t="shared" ref="C18:G18" si="3">D14*(1-D17)</f>
        <v>817.97855740523971</v>
      </c>
      <c r="E18" s="55">
        <f t="shared" si="3"/>
        <v>834.33812855334452</v>
      </c>
      <c r="F18" s="55">
        <f t="shared" si="3"/>
        <v>851.02489112441151</v>
      </c>
      <c r="G18" s="55">
        <f t="shared" si="3"/>
        <v>868.04538894689995</v>
      </c>
      <c r="H18" s="18"/>
    </row>
    <row r="19" spans="1:8">
      <c r="A19" s="59" t="s">
        <v>257</v>
      </c>
      <c r="B19" s="57">
        <f>Historical!D22</f>
        <v>571.73299999999995</v>
      </c>
      <c r="C19" s="57">
        <f>C7*Inputs!$D$16</f>
        <v>627.74149680000005</v>
      </c>
      <c r="D19" s="57">
        <f>D7*Inputs!$D$16</f>
        <v>640.29632673599997</v>
      </c>
      <c r="E19" s="57">
        <f>E7*Inputs!$D$16</f>
        <v>653.10225327071998</v>
      </c>
      <c r="F19" s="57">
        <f>F7*Inputs!$D$16</f>
        <v>666.16429833613438</v>
      </c>
      <c r="G19" s="57">
        <f>G7*Inputs!$D$16</f>
        <v>679.48758430285716</v>
      </c>
      <c r="H19" s="18"/>
    </row>
    <row r="20" spans="1:8">
      <c r="A20" s="59" t="s">
        <v>258</v>
      </c>
      <c r="B20" s="57">
        <f>Historical!D83</f>
        <v>479.70699999999999</v>
      </c>
      <c r="C20" s="57">
        <f>C7*Inputs!$D$17</f>
        <v>489.30114000000003</v>
      </c>
      <c r="D20" s="57">
        <f>D7*Inputs!$D$17</f>
        <v>499.08716279999999</v>
      </c>
      <c r="E20" s="57">
        <f>E7*Inputs!$D$17</f>
        <v>509.068906056</v>
      </c>
      <c r="F20" s="57">
        <f>F7*Inputs!$D$17</f>
        <v>519.25028417712008</v>
      </c>
      <c r="G20" s="57">
        <f>G7*Inputs!$D$17</f>
        <v>529.63528986066251</v>
      </c>
      <c r="H20" s="18"/>
    </row>
    <row r="21" spans="1:8">
      <c r="A21" s="59" t="s">
        <v>170</v>
      </c>
      <c r="B21" s="57">
        <f>Historical!D83-(Historical!C31+Historical!C32-Historical!C33)</f>
        <v>43.002000000000066</v>
      </c>
      <c r="C21" s="51">
        <f>C20-B20</f>
        <v>9.5941400000000385</v>
      </c>
      <c r="D21" s="51">
        <f t="shared" ref="D21:G21" si="4">D20-C20</f>
        <v>9.7860227999999552</v>
      </c>
      <c r="E21" s="51">
        <f t="shared" si="4"/>
        <v>9.9817432560000157</v>
      </c>
      <c r="F21" s="51">
        <f t="shared" si="4"/>
        <v>10.181378121120076</v>
      </c>
      <c r="G21" s="51">
        <f t="shared" si="4"/>
        <v>10.385005683542431</v>
      </c>
      <c r="H21" s="18"/>
    </row>
    <row r="22" spans="1:8">
      <c r="A22" s="54" t="s">
        <v>259</v>
      </c>
      <c r="B22" s="55">
        <f>B18+B13-B19-B21-B25+B30</f>
        <v>837.07285697735233</v>
      </c>
      <c r="C22" s="55">
        <f>C18+C13-C19-C21-C25+C30</f>
        <v>701.77171316200008</v>
      </c>
      <c r="D22" s="55">
        <f>D18+D13-D19-D21-D25+D30</f>
        <v>715.8071474252398</v>
      </c>
      <c r="E22" s="55">
        <f>E18+E13-E19-E21-E25+E30</f>
        <v>730.12329037374479</v>
      </c>
      <c r="F22" s="55">
        <f>F18+F13-F19-F21-F25+F30</f>
        <v>744.72575618121937</v>
      </c>
      <c r="G22" s="55">
        <f>G18+G13-G19-G21-G25+G30</f>
        <v>759.6202713048441</v>
      </c>
      <c r="H22" s="18"/>
    </row>
    <row r="24" spans="1:8" ht="24" customHeight="1">
      <c r="A24" s="84" t="s">
        <v>260</v>
      </c>
      <c r="B24" s="85"/>
      <c r="C24" s="85"/>
      <c r="D24" s="85"/>
      <c r="E24" s="85"/>
      <c r="F24" s="85"/>
      <c r="G24" s="85"/>
      <c r="H24" s="85"/>
    </row>
    <row r="25" spans="1:8">
      <c r="A25" t="s">
        <v>211</v>
      </c>
      <c r="B25" s="98">
        <f>Historical!D73</f>
        <v>596.48299999999995</v>
      </c>
      <c r="C25" s="98">
        <f>C7*Inputs!$I$14</f>
        <v>608.41265999999996</v>
      </c>
      <c r="D25" s="98">
        <f>D7*Inputs!$I$14</f>
        <v>620.58091319999994</v>
      </c>
      <c r="E25" s="98">
        <f>E7*Inputs!$I$14</f>
        <v>632.99253146399997</v>
      </c>
      <c r="F25" s="98">
        <f>F7*Inputs!$I$14</f>
        <v>645.65238209327993</v>
      </c>
      <c r="G25" s="98">
        <f>G7*Inputs!$I$14</f>
        <v>658.56542973514559</v>
      </c>
    </row>
    <row r="26" spans="1:8">
      <c r="A26" t="s">
        <v>261</v>
      </c>
      <c r="B26" s="98">
        <f>Historical!D51</f>
        <v>252.553</v>
      </c>
      <c r="C26" s="98">
        <f>C7*Inputs!$I$15</f>
        <v>257.60406</v>
      </c>
      <c r="D26" s="98">
        <f>D7*Inputs!$I$15</f>
        <v>262.7561412</v>
      </c>
      <c r="E26" s="98">
        <f>E7*Inputs!$I$15</f>
        <v>268.01126402400001</v>
      </c>
      <c r="F26" s="98">
        <f>F7*Inputs!$I$15</f>
        <v>273.37148930448001</v>
      </c>
      <c r="G26" s="98">
        <f>G7*Inputs!$I$15</f>
        <v>278.83891909056962</v>
      </c>
    </row>
    <row r="27" spans="1:8">
      <c r="A27" t="s">
        <v>262</v>
      </c>
      <c r="B27" s="98">
        <f>-Historical!D52</f>
        <v>358.41300000000001</v>
      </c>
      <c r="C27" s="98">
        <f>C7*Inputs!$I$16</f>
        <v>365.58125999999999</v>
      </c>
      <c r="D27" s="98">
        <f>D7*Inputs!$I$16</f>
        <v>372.89288519999997</v>
      </c>
      <c r="E27" s="98">
        <f>E7*Inputs!$I$16</f>
        <v>380.35074290400001</v>
      </c>
      <c r="F27" s="98">
        <f>F7*Inputs!$I$16</f>
        <v>387.95775776208001</v>
      </c>
      <c r="G27" s="98">
        <f>G7*Inputs!$I$16</f>
        <v>395.71691291732162</v>
      </c>
    </row>
    <row r="28" spans="1:8">
      <c r="A28" t="s">
        <v>263</v>
      </c>
      <c r="B28" s="98">
        <f>-Historical!D67</f>
        <v>380.529</v>
      </c>
      <c r="C28" s="98">
        <f>C7*Inputs!$I$17</f>
        <v>388.13958000000002</v>
      </c>
      <c r="D28" s="98">
        <f>D7*Inputs!$I$17</f>
        <v>395.90237160000004</v>
      </c>
      <c r="E28" s="98">
        <f>E7*Inputs!$I$17</f>
        <v>403.82041903200002</v>
      </c>
      <c r="F28" s="98">
        <f>F7*Inputs!$I$17</f>
        <v>411.89682741264005</v>
      </c>
      <c r="G28" s="98">
        <f>G7*Inputs!$I$17</f>
        <v>420.13476396089288</v>
      </c>
    </row>
    <row r="29" spans="1:8">
      <c r="A29" t="s">
        <v>264</v>
      </c>
      <c r="B29" s="98">
        <f>Historical!D68</f>
        <v>224.78299999999999</v>
      </c>
      <c r="C29" s="98">
        <f>C7*Inputs!$I$18</f>
        <v>229.27866</v>
      </c>
      <c r="D29" s="98">
        <f>D7*Inputs!$I$18</f>
        <v>233.8642332</v>
      </c>
      <c r="E29" s="98">
        <f>E7*Inputs!$I$18</f>
        <v>238.54151786400001</v>
      </c>
      <c r="F29" s="98">
        <f>F7*Inputs!$I$18</f>
        <v>243.31234822128002</v>
      </c>
      <c r="G29" s="98">
        <f>G7*Inputs!$I$18</f>
        <v>248.17859518570563</v>
      </c>
    </row>
    <row r="30" spans="1:8">
      <c r="A30" t="s">
        <v>215</v>
      </c>
      <c r="B30" s="96">
        <f>B26-B27-B28+B29</f>
        <v>-261.60599999999999</v>
      </c>
      <c r="C30" s="96">
        <f>C26-C27-C28+C29</f>
        <v>-266.83812</v>
      </c>
      <c r="D30" s="96">
        <f>D26-D27-D28+D29</f>
        <v>-272.1748824</v>
      </c>
      <c r="E30" s="96">
        <f>E26-E27-E28+E29</f>
        <v>-277.61838004800001</v>
      </c>
      <c r="F30" s="96">
        <f>F26-F27-F28+F29</f>
        <v>-283.17074764896006</v>
      </c>
      <c r="G30" s="96">
        <f>G26-G27-G28+G29</f>
        <v>-288.83416260193928</v>
      </c>
    </row>
    <row r="32" spans="1:8">
      <c r="H32" t="s">
        <v>265</v>
      </c>
    </row>
    <row r="33" spans="2:8">
      <c r="H33" t="s">
        <v>266</v>
      </c>
    </row>
    <row r="34" spans="2:8">
      <c r="B34" t="s">
        <v>267</v>
      </c>
    </row>
  </sheetData>
  <mergeCells count="4">
    <mergeCell ref="A2:H2"/>
    <mergeCell ref="A6:H6"/>
    <mergeCell ref="A10:H10"/>
    <mergeCell ref="A1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2BC0-D962-43FE-B800-76B590CCC6D9}">
  <dimension ref="A2:G21"/>
  <sheetViews>
    <sheetView workbookViewId="0">
      <selection activeCell="E9" sqref="E9"/>
    </sheetView>
  </sheetViews>
  <sheetFormatPr defaultRowHeight="15"/>
  <cols>
    <col min="1" max="1" width="26.140625" customWidth="1"/>
    <col min="2" max="3" width="18.5703125" customWidth="1"/>
    <col min="4" max="4" width="29.85546875" customWidth="1"/>
    <col min="5" max="5" width="15.7109375" customWidth="1"/>
    <col min="6" max="6" width="17.42578125" customWidth="1"/>
    <col min="7" max="7" width="16" customWidth="1"/>
  </cols>
  <sheetData>
    <row r="2" spans="1:7" ht="19.5">
      <c r="A2" s="154" t="s">
        <v>268</v>
      </c>
      <c r="B2" s="154"/>
      <c r="C2" s="154"/>
      <c r="D2" s="154"/>
      <c r="E2" s="154"/>
      <c r="F2" s="154"/>
      <c r="G2" s="154"/>
    </row>
    <row r="3" spans="1:7">
      <c r="A3" s="42"/>
      <c r="B3" s="42"/>
      <c r="C3" s="42"/>
      <c r="D3" s="42"/>
      <c r="E3" s="42"/>
      <c r="F3" s="42"/>
      <c r="G3" s="42"/>
    </row>
    <row r="4" spans="1:7">
      <c r="A4" s="145" t="s">
        <v>269</v>
      </c>
      <c r="B4" s="148"/>
      <c r="C4" s="148"/>
      <c r="D4" s="148"/>
      <c r="E4" s="148"/>
      <c r="F4" s="148"/>
      <c r="G4" s="148"/>
    </row>
    <row r="5" spans="1:7">
      <c r="A5" s="26" t="s">
        <v>130</v>
      </c>
      <c r="B5" s="26" t="s">
        <v>270</v>
      </c>
      <c r="C5" s="26" t="s">
        <v>6</v>
      </c>
      <c r="D5" s="155" t="s">
        <v>134</v>
      </c>
      <c r="E5" s="156"/>
      <c r="F5" s="156"/>
      <c r="G5" s="156"/>
    </row>
    <row r="6" spans="1:7">
      <c r="A6" s="60" t="s">
        <v>271</v>
      </c>
      <c r="B6" s="62">
        <f>'Operating Model'!B11</f>
        <v>2676.1170000000002</v>
      </c>
      <c r="C6" s="18" t="s">
        <v>74</v>
      </c>
      <c r="D6" s="18" t="s">
        <v>272</v>
      </c>
      <c r="E6" s="18"/>
      <c r="F6" s="18"/>
      <c r="G6" s="18"/>
    </row>
    <row r="7" spans="1:7">
      <c r="A7" s="60" t="s">
        <v>273</v>
      </c>
      <c r="B7" s="37">
        <f>Inputs!D23</f>
        <v>5.5</v>
      </c>
      <c r="C7" s="18" t="s">
        <v>95</v>
      </c>
      <c r="D7" s="18" t="s">
        <v>274</v>
      </c>
      <c r="E7" s="18"/>
      <c r="F7" s="18"/>
      <c r="G7" s="18"/>
    </row>
    <row r="8" spans="1:7">
      <c r="A8" s="54" t="s">
        <v>275</v>
      </c>
      <c r="B8" s="55">
        <f>B6 * B7</f>
        <v>14718.643500000002</v>
      </c>
      <c r="C8" s="18" t="s">
        <v>74</v>
      </c>
      <c r="D8" s="63" t="s">
        <v>276</v>
      </c>
      <c r="E8" s="63"/>
      <c r="F8" s="63"/>
      <c r="G8" s="63"/>
    </row>
    <row r="9" spans="1:7">
      <c r="A9" s="64" t="s">
        <v>277</v>
      </c>
      <c r="B9" s="57">
        <f>Historical!D41</f>
        <v>7799.2079999999996</v>
      </c>
      <c r="C9" s="18" t="s">
        <v>74</v>
      </c>
      <c r="D9" s="18" t="s">
        <v>278</v>
      </c>
      <c r="E9" s="18"/>
      <c r="F9" s="18"/>
      <c r="G9" s="18"/>
    </row>
    <row r="10" spans="1:7">
      <c r="A10" s="64" t="s">
        <v>172</v>
      </c>
      <c r="B10" s="57">
        <f>Historical!D40</f>
        <v>80.816999999999993</v>
      </c>
      <c r="C10" s="18" t="s">
        <v>74</v>
      </c>
      <c r="D10" s="18" t="s">
        <v>279</v>
      </c>
      <c r="E10" s="18"/>
      <c r="F10" s="18"/>
      <c r="G10" s="18"/>
    </row>
    <row r="11" spans="1:7">
      <c r="A11" s="54" t="s">
        <v>280</v>
      </c>
      <c r="B11" s="55">
        <f>B8 - B9+B10</f>
        <v>7000.2525000000023</v>
      </c>
      <c r="C11" s="18" t="s">
        <v>74</v>
      </c>
      <c r="D11" s="18" t="s">
        <v>281</v>
      </c>
      <c r="E11" s="18"/>
      <c r="F11" s="18"/>
      <c r="G11" s="18"/>
    </row>
    <row r="12" spans="1:7">
      <c r="A12" s="27"/>
      <c r="B12" s="28"/>
      <c r="C12" s="18"/>
      <c r="D12" s="18"/>
      <c r="E12" s="18"/>
      <c r="F12" s="18"/>
      <c r="G12" s="18"/>
    </row>
    <row r="13" spans="1:7">
      <c r="A13" s="149" t="s">
        <v>282</v>
      </c>
      <c r="B13" s="150"/>
      <c r="C13" s="145"/>
      <c r="D13" s="18"/>
      <c r="E13" s="145" t="s">
        <v>283</v>
      </c>
      <c r="F13" s="145"/>
      <c r="G13" s="145"/>
    </row>
    <row r="14" spans="1:7">
      <c r="A14" s="65" t="s">
        <v>284</v>
      </c>
      <c r="B14" s="66" t="s">
        <v>285</v>
      </c>
      <c r="C14" s="26" t="s">
        <v>134</v>
      </c>
      <c r="D14" s="18"/>
      <c r="E14" s="26" t="s">
        <v>286</v>
      </c>
      <c r="F14" s="26" t="s">
        <v>285</v>
      </c>
      <c r="G14" s="26" t="s">
        <v>134</v>
      </c>
    </row>
    <row r="15" spans="1:7">
      <c r="A15" s="60" t="s">
        <v>287</v>
      </c>
      <c r="B15" s="51">
        <f>B11</f>
        <v>7000.2525000000023</v>
      </c>
      <c r="C15" s="18"/>
      <c r="D15" s="18"/>
      <c r="E15" s="46" t="s">
        <v>288</v>
      </c>
      <c r="F15" s="61">
        <f>B6*Inputs!$D$28</f>
        <v>10704.468000000001</v>
      </c>
      <c r="G15" s="18"/>
    </row>
    <row r="16" spans="1:7">
      <c r="A16" s="67" t="s">
        <v>289</v>
      </c>
      <c r="B16" s="51">
        <f>B9</f>
        <v>7799.2079999999996</v>
      </c>
      <c r="C16" s="18"/>
      <c r="D16" s="18"/>
      <c r="E16" s="68" t="s">
        <v>290</v>
      </c>
      <c r="F16" s="47">
        <f>B10</f>
        <v>80.816999999999993</v>
      </c>
      <c r="G16" s="18"/>
    </row>
    <row r="17" spans="1:7">
      <c r="A17" s="67" t="s">
        <v>69</v>
      </c>
      <c r="B17" s="62">
        <f>B8 * Inputs!$D$24</f>
        <v>294.37287000000003</v>
      </c>
      <c r="C17" s="18"/>
      <c r="D17" s="18"/>
      <c r="E17" s="46" t="s">
        <v>291</v>
      </c>
      <c r="F17" s="61">
        <f>B19-F15-F16</f>
        <v>4408.5483699999995</v>
      </c>
      <c r="G17" s="18"/>
    </row>
    <row r="18" spans="1:7">
      <c r="A18" s="67" t="s">
        <v>73</v>
      </c>
      <c r="B18" s="57">
        <f>Inputs!D25</f>
        <v>100</v>
      </c>
      <c r="C18" s="18"/>
      <c r="D18" s="18"/>
      <c r="E18" s="18"/>
      <c r="F18" s="61"/>
      <c r="G18" s="18"/>
    </row>
    <row r="19" spans="1:7">
      <c r="A19" s="56" t="s">
        <v>292</v>
      </c>
      <c r="B19" s="69">
        <f>SUM(B15:B18)</f>
        <v>15193.83337</v>
      </c>
      <c r="C19" s="70"/>
      <c r="D19" s="18"/>
      <c r="E19" s="71" t="s">
        <v>293</v>
      </c>
      <c r="F19" s="72">
        <f>SUM(F15:F17)</f>
        <v>15193.83337</v>
      </c>
      <c r="G19" s="70"/>
    </row>
    <row r="20" spans="1:7">
      <c r="A20" s="27"/>
      <c r="B20" s="28"/>
      <c r="C20" s="18"/>
      <c r="D20" s="18"/>
      <c r="E20" s="18"/>
      <c r="F20" s="18"/>
      <c r="G20" s="18"/>
    </row>
    <row r="21" spans="1:7">
      <c r="A21" s="56" t="s">
        <v>294</v>
      </c>
      <c r="B21" s="69">
        <f>F19-B19</f>
        <v>0</v>
      </c>
      <c r="C21" s="18"/>
      <c r="D21" s="18"/>
      <c r="E21" s="18"/>
      <c r="F21" s="18"/>
      <c r="G21" s="18"/>
    </row>
  </sheetData>
  <mergeCells count="5">
    <mergeCell ref="A2:G2"/>
    <mergeCell ref="A4:G4"/>
    <mergeCell ref="D5:G5"/>
    <mergeCell ref="A13:C13"/>
    <mergeCell ref="E13:G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C6D2-9E4E-443C-86D7-E85A8DD99424}">
  <dimension ref="A2:F28"/>
  <sheetViews>
    <sheetView workbookViewId="0">
      <selection activeCell="A32" sqref="A32"/>
    </sheetView>
  </sheetViews>
  <sheetFormatPr defaultRowHeight="15"/>
  <cols>
    <col min="1" max="1" width="40" customWidth="1"/>
    <col min="2" max="6" width="16.140625" customWidth="1"/>
  </cols>
  <sheetData>
    <row r="2" spans="1:6" ht="19.5">
      <c r="A2" s="153" t="s">
        <v>295</v>
      </c>
      <c r="B2" s="153"/>
      <c r="C2" s="153"/>
      <c r="D2" s="153"/>
      <c r="E2" s="153"/>
      <c r="F2" s="153"/>
    </row>
    <row r="4" spans="1:6">
      <c r="A4" s="26" t="s">
        <v>130</v>
      </c>
      <c r="B4" s="138" t="s">
        <v>248</v>
      </c>
      <c r="C4" s="138" t="s">
        <v>249</v>
      </c>
      <c r="D4" s="138" t="s">
        <v>250</v>
      </c>
      <c r="E4" s="138" t="s">
        <v>251</v>
      </c>
      <c r="F4" s="138" t="s">
        <v>252</v>
      </c>
    </row>
    <row r="6" spans="1:6">
      <c r="A6" s="41" t="s">
        <v>296</v>
      </c>
      <c r="B6" s="62">
        <f>Transaction!F15</f>
        <v>10704.468000000001</v>
      </c>
      <c r="C6" s="62">
        <f>B19</f>
        <v>10549.694601638001</v>
      </c>
      <c r="D6" s="62">
        <f t="shared" ref="D6:F6" si="0">C19</f>
        <v>10372.976848356462</v>
      </c>
      <c r="E6" s="51">
        <f>D19</f>
        <v>10172.912674933732</v>
      </c>
      <c r="F6" s="51">
        <f>E19</f>
        <v>9948.0227564416255</v>
      </c>
    </row>
    <row r="7" spans="1:6">
      <c r="A7" s="59" t="s">
        <v>297</v>
      </c>
      <c r="B7" s="31">
        <f>Inputs!$D$29</f>
        <v>7.0000000000000007E-2</v>
      </c>
      <c r="C7" s="31">
        <f>Inputs!$D$29</f>
        <v>7.0000000000000007E-2</v>
      </c>
      <c r="D7" s="31">
        <f>Inputs!$D$29</f>
        <v>7.0000000000000007E-2</v>
      </c>
      <c r="E7" s="31">
        <f>Inputs!$D$29</f>
        <v>7.0000000000000007E-2</v>
      </c>
      <c r="F7" s="31">
        <f>Inputs!$D$29</f>
        <v>7.0000000000000007E-2</v>
      </c>
    </row>
    <row r="8" spans="1:6">
      <c r="A8" s="73" t="s">
        <v>298</v>
      </c>
      <c r="B8" s="62">
        <f>B6*B7</f>
        <v>749.31276000000014</v>
      </c>
      <c r="C8" s="62">
        <f t="shared" ref="C8:F8" si="1">C6*C7</f>
        <v>738.47862211466008</v>
      </c>
      <c r="D8" s="62">
        <f t="shared" ref="D8" si="2">D6*D7</f>
        <v>726.1083793849524</v>
      </c>
      <c r="E8" s="51">
        <f>E6*E7</f>
        <v>712.10388724536131</v>
      </c>
      <c r="F8" s="51">
        <f>F6*F7</f>
        <v>696.36159295091386</v>
      </c>
    </row>
    <row r="9" spans="1:6">
      <c r="A9" s="27"/>
      <c r="B9" s="28"/>
      <c r="C9" s="28"/>
      <c r="D9" s="28"/>
      <c r="E9" s="28"/>
      <c r="F9" s="28"/>
    </row>
    <row r="10" spans="1:6">
      <c r="A10" s="41" t="s">
        <v>259</v>
      </c>
      <c r="B10" s="57">
        <f>'Operating Model'!C22</f>
        <v>701.77171316200008</v>
      </c>
      <c r="C10" s="57">
        <f>'Operating Model'!D22</f>
        <v>715.8071474252398</v>
      </c>
      <c r="D10" s="57">
        <f>'Operating Model'!E22</f>
        <v>730.12329037374479</v>
      </c>
      <c r="E10" s="57">
        <f>'Operating Model'!F22</f>
        <v>744.72575618121937</v>
      </c>
      <c r="F10" s="57">
        <f>'Operating Model'!G22</f>
        <v>759.6202713048441</v>
      </c>
    </row>
    <row r="11" spans="1:6">
      <c r="A11" s="59" t="s">
        <v>51</v>
      </c>
      <c r="B11" s="31">
        <f>'Operating Model'!C17</f>
        <v>0.27</v>
      </c>
      <c r="C11" s="31">
        <f>'Operating Model'!D17</f>
        <v>0.27</v>
      </c>
      <c r="D11" s="31">
        <f>'Operating Model'!E17</f>
        <v>0.27</v>
      </c>
      <c r="E11" s="31">
        <f>'Operating Model'!F17</f>
        <v>0.27</v>
      </c>
      <c r="F11" s="31">
        <f>'Operating Model'!G17</f>
        <v>0.27</v>
      </c>
    </row>
    <row r="12" spans="1:6">
      <c r="A12" s="54" t="s">
        <v>299</v>
      </c>
      <c r="B12" s="69">
        <f>B10-B8*(1-B11)</f>
        <v>154.77339836199997</v>
      </c>
      <c r="C12" s="69">
        <f t="shared" ref="C12:F12" si="3">C10-C8*(1-C11)</f>
        <v>176.71775328153797</v>
      </c>
      <c r="D12" s="69">
        <f t="shared" si="3"/>
        <v>200.0641734227296</v>
      </c>
      <c r="E12" s="69">
        <f t="shared" si="3"/>
        <v>224.88991849210561</v>
      </c>
      <c r="F12" s="69">
        <f t="shared" si="3"/>
        <v>251.27630845067699</v>
      </c>
    </row>
    <row r="13" spans="1:6">
      <c r="A13" s="27"/>
      <c r="B13" s="28"/>
      <c r="C13" s="28"/>
      <c r="D13" s="28"/>
      <c r="E13" s="28"/>
      <c r="F13" s="28"/>
    </row>
    <row r="14" spans="1:6">
      <c r="A14" s="64" t="s">
        <v>300</v>
      </c>
      <c r="B14" s="62">
        <f>MIN(B6, Transaction!$F$15*Inputs!$D$30)</f>
        <v>107.04468000000001</v>
      </c>
      <c r="C14" s="62">
        <f>MIN(C6, Transaction!$F$15*Inputs!$D$30)</f>
        <v>107.04468000000001</v>
      </c>
      <c r="D14" s="62">
        <f>MIN(D6, Transaction!$F$15*Inputs!$D$30)</f>
        <v>107.04468000000001</v>
      </c>
      <c r="E14" s="57">
        <f>MIN(E6,Transaction!$F$15*Inputs!$D$30)</f>
        <v>107.04468000000001</v>
      </c>
      <c r="F14" s="57">
        <f>MIN(F6,Transaction!$F$15*Inputs!$D$30)</f>
        <v>107.04468000000001</v>
      </c>
    </row>
    <row r="15" spans="1:6">
      <c r="A15" s="64" t="s">
        <v>301</v>
      </c>
      <c r="B15" s="62">
        <f>MAX(0, B12-B14)</f>
        <v>47.728718361999952</v>
      </c>
      <c r="C15" s="62">
        <f t="shared" ref="C15:F15" si="4">MAX(0, C12-C14)</f>
        <v>69.673073281537953</v>
      </c>
      <c r="D15" s="62">
        <f t="shared" si="4"/>
        <v>93.019493422729582</v>
      </c>
      <c r="E15" s="62">
        <f t="shared" si="4"/>
        <v>117.84523849210559</v>
      </c>
      <c r="F15" s="62">
        <f t="shared" si="4"/>
        <v>144.23162845067696</v>
      </c>
    </row>
    <row r="16" spans="1:6">
      <c r="A16" s="64" t="s">
        <v>302</v>
      </c>
      <c r="B16" s="31">
        <f>Inputs!$D$31</f>
        <v>1</v>
      </c>
      <c r="C16" s="31">
        <f>Inputs!$D$31</f>
        <v>1</v>
      </c>
      <c r="D16" s="31">
        <f>Inputs!$D$31</f>
        <v>1</v>
      </c>
      <c r="E16" s="31">
        <f>Inputs!$D$31</f>
        <v>1</v>
      </c>
      <c r="F16" s="31">
        <f>Inputs!$D$31</f>
        <v>1</v>
      </c>
    </row>
    <row r="17" spans="1:6">
      <c r="A17" s="64" t="s">
        <v>303</v>
      </c>
      <c r="B17" s="62">
        <f>MIN(MAX(0, B6-B14),B15*B16)</f>
        <v>47.728718361999952</v>
      </c>
      <c r="C17" s="62">
        <f t="shared" ref="C17:F17" si="5">MIN(MAX(0, C6-C14),C15*C16)</f>
        <v>69.673073281537953</v>
      </c>
      <c r="D17" s="62">
        <f t="shared" si="5"/>
        <v>93.019493422729582</v>
      </c>
      <c r="E17" s="62">
        <f t="shared" ref="E17" si="6">MIN(MAX(0, E6-E14),E15*E16)</f>
        <v>117.84523849210559</v>
      </c>
      <c r="F17" s="62">
        <f t="shared" ref="F17" si="7">MIN(MAX(0, F6-F14),F15*F16)</f>
        <v>144.23162845067696</v>
      </c>
    </row>
    <row r="18" spans="1:6">
      <c r="A18" s="27"/>
      <c r="B18" s="28"/>
      <c r="C18" s="28"/>
      <c r="D18" s="28"/>
      <c r="E18" s="28"/>
      <c r="F18" s="28"/>
    </row>
    <row r="19" spans="1:6">
      <c r="A19" s="54" t="s">
        <v>304</v>
      </c>
      <c r="B19" s="69">
        <f>B6-B14-B17</f>
        <v>10549.694601638001</v>
      </c>
      <c r="C19" s="69">
        <f t="shared" ref="C19:F19" si="8">C6-C14-C17</f>
        <v>10372.976848356462</v>
      </c>
      <c r="D19" s="55">
        <f>D6-D14-D17</f>
        <v>10172.912674933732</v>
      </c>
      <c r="E19" s="55">
        <f>E6-E14-E17</f>
        <v>9948.0227564416255</v>
      </c>
      <c r="F19" s="55">
        <f>F6-F14-F17</f>
        <v>9696.7464479909468</v>
      </c>
    </row>
    <row r="20" spans="1:6">
      <c r="A20" s="27"/>
      <c r="B20" s="28"/>
      <c r="C20" s="28"/>
      <c r="D20" s="28"/>
      <c r="E20" s="28"/>
      <c r="F20" s="28"/>
    </row>
    <row r="21" spans="1:6">
      <c r="A21" s="27" t="s">
        <v>144</v>
      </c>
      <c r="B21" s="57">
        <f>'Operating Model'!C11</f>
        <v>2510.9659872000002</v>
      </c>
      <c r="C21" s="57">
        <f>'Operating Model'!D11</f>
        <v>2561.1853069439999</v>
      </c>
      <c r="D21" s="57">
        <f>'Operating Model'!E11</f>
        <v>2612.4090130828799</v>
      </c>
      <c r="E21" s="57">
        <f>'Operating Model'!F11</f>
        <v>2664.6571933445375</v>
      </c>
      <c r="F21" s="57">
        <f>'Operating Model'!G11</f>
        <v>2717.9503372114286</v>
      </c>
    </row>
    <row r="22" spans="1:6">
      <c r="A22" s="75" t="s">
        <v>305</v>
      </c>
      <c r="B22" s="77">
        <f>B19/B21</f>
        <v>4.2014486279051733</v>
      </c>
      <c r="C22" s="77">
        <f t="shared" ref="C22:F22" si="9">C19/C21</f>
        <v>4.0500688568815324</v>
      </c>
      <c r="D22" s="78">
        <f>D19/D21</f>
        <v>3.8940734869570717</v>
      </c>
      <c r="E22" s="78">
        <f>E19/E21</f>
        <v>3.7333217876162865</v>
      </c>
      <c r="F22" s="78">
        <f>F19/F21</f>
        <v>3.5676687374426588</v>
      </c>
    </row>
    <row r="23" spans="1:6">
      <c r="A23" s="74" t="s">
        <v>306</v>
      </c>
      <c r="B23" s="76">
        <f>(B12+B8)/(B8+B14)</f>
        <v>1.0557345754618539</v>
      </c>
      <c r="C23" s="76">
        <f t="shared" ref="C23:F23" si="10">(C12+C8)/(C8+C14)</f>
        <v>1.0824023100336622</v>
      </c>
      <c r="D23" s="76">
        <f t="shared" si="10"/>
        <v>1.1116475446797234</v>
      </c>
      <c r="E23" s="76">
        <f t="shared" si="10"/>
        <v>1.1438630832113843</v>
      </c>
      <c r="F23" s="76">
        <f t="shared" si="10"/>
        <v>1.1795251460023006</v>
      </c>
    </row>
    <row r="24" spans="1:6">
      <c r="A24" s="27"/>
      <c r="B24" s="28"/>
      <c r="C24" s="28"/>
      <c r="D24" s="28"/>
      <c r="E24" s="28"/>
      <c r="F24" s="28"/>
    </row>
    <row r="25" spans="1:6">
      <c r="A25" s="27" t="s">
        <v>307</v>
      </c>
      <c r="B25" s="28"/>
      <c r="C25" s="28"/>
      <c r="D25" s="28"/>
      <c r="E25" s="28"/>
      <c r="F25" s="28"/>
    </row>
    <row r="26" spans="1:6">
      <c r="A26" s="27"/>
      <c r="B26" s="28"/>
      <c r="C26" s="28"/>
      <c r="D26" s="28"/>
      <c r="E26" s="28"/>
      <c r="F26" s="28"/>
    </row>
    <row r="27" spans="1:6">
      <c r="A27" s="44" t="s">
        <v>308</v>
      </c>
      <c r="B27" s="79">
        <f>B6-B14-B17-B19</f>
        <v>0</v>
      </c>
      <c r="C27" s="79">
        <f t="shared" ref="C27:F27" si="11">C6-C14-C17-C19</f>
        <v>0</v>
      </c>
      <c r="D27" s="79">
        <f t="shared" si="11"/>
        <v>0</v>
      </c>
      <c r="E27" s="79">
        <f t="shared" si="11"/>
        <v>0</v>
      </c>
      <c r="F27" s="79">
        <f t="shared" si="11"/>
        <v>0</v>
      </c>
    </row>
    <row r="28" spans="1:6">
      <c r="A28" s="44" t="s">
        <v>309</v>
      </c>
      <c r="B28" s="79">
        <f>MAX(0,B14+B17-B6,-B14,-B17,-B19)</f>
        <v>0</v>
      </c>
      <c r="C28" s="79">
        <f t="shared" ref="C28:F28" si="12">MAX(0,C14+C17-C6,-C14,-C17,-C19)</f>
        <v>0</v>
      </c>
      <c r="D28" s="79">
        <f t="shared" si="12"/>
        <v>0</v>
      </c>
      <c r="E28" s="79">
        <f t="shared" si="12"/>
        <v>0</v>
      </c>
      <c r="F28" s="79">
        <f t="shared" si="12"/>
        <v>0</v>
      </c>
    </row>
  </sheetData>
  <mergeCells count="1"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DB33-0322-4FC7-BB65-E1D6B82164BD}">
  <dimension ref="A2:D20"/>
  <sheetViews>
    <sheetView topLeftCell="D1" workbookViewId="0">
      <selection activeCell="B21" sqref="B21"/>
    </sheetView>
  </sheetViews>
  <sheetFormatPr defaultRowHeight="15"/>
  <cols>
    <col min="1" max="1" width="54.42578125" customWidth="1"/>
    <col min="2" max="2" width="18.140625" customWidth="1"/>
    <col min="4" max="4" width="68.5703125" customWidth="1"/>
  </cols>
  <sheetData>
    <row r="2" spans="1:4" ht="19.5">
      <c r="A2" s="157" t="s">
        <v>310</v>
      </c>
      <c r="B2" s="157"/>
      <c r="C2" s="157"/>
      <c r="D2" s="157"/>
    </row>
    <row r="3" spans="1:4" ht="13.5" customHeight="1"/>
    <row r="4" spans="1:4" ht="24" customHeight="1">
      <c r="A4" s="80" t="s">
        <v>130</v>
      </c>
      <c r="B4" s="80" t="s">
        <v>270</v>
      </c>
      <c r="C4" s="80" t="s">
        <v>6</v>
      </c>
      <c r="D4" s="80" t="s">
        <v>134</v>
      </c>
    </row>
    <row r="6" spans="1:4">
      <c r="A6" s="81" t="s">
        <v>311</v>
      </c>
      <c r="B6" s="8">
        <f>Transaction!F17</f>
        <v>4408.5483699999995</v>
      </c>
      <c r="C6" s="4" t="s">
        <v>74</v>
      </c>
    </row>
    <row r="7" spans="1:4">
      <c r="A7" s="81" t="s">
        <v>104</v>
      </c>
      <c r="B7" s="11">
        <f>Inputs!D36</f>
        <v>5</v>
      </c>
      <c r="C7" s="4" t="s">
        <v>26</v>
      </c>
    </row>
    <row r="8" spans="1:4">
      <c r="A8" s="2"/>
    </row>
    <row r="9" spans="1:4">
      <c r="A9" s="15" t="s">
        <v>312</v>
      </c>
      <c r="B9" s="8">
        <f>'Operating Model'!G11</f>
        <v>2717.9503372114286</v>
      </c>
      <c r="C9" s="4" t="s">
        <v>74</v>
      </c>
      <c r="D9" s="4" t="s">
        <v>313</v>
      </c>
    </row>
    <row r="10" spans="1:4">
      <c r="A10" s="15" t="s">
        <v>33</v>
      </c>
      <c r="B10" s="10">
        <f>Inputs!D37</f>
        <v>4.5</v>
      </c>
      <c r="C10" s="4" t="s">
        <v>95</v>
      </c>
      <c r="D10" t="s">
        <v>314</v>
      </c>
    </row>
    <row r="11" spans="1:4">
      <c r="A11" s="82" t="s">
        <v>315</v>
      </c>
      <c r="B11" s="83">
        <f>B9*B10</f>
        <v>12230.776517451428</v>
      </c>
      <c r="C11" s="4" t="s">
        <v>74</v>
      </c>
    </row>
    <row r="12" spans="1:4">
      <c r="A12" s="15" t="s">
        <v>316</v>
      </c>
      <c r="B12" s="8">
        <f>'Debt Schedule'!F19</f>
        <v>9696.7464479909468</v>
      </c>
      <c r="C12" s="4" t="s">
        <v>74</v>
      </c>
    </row>
    <row r="13" spans="1:4">
      <c r="A13" s="15" t="s">
        <v>317</v>
      </c>
      <c r="B13" s="8">
        <f>Inputs!D25</f>
        <v>100</v>
      </c>
      <c r="C13" s="4" t="s">
        <v>74</v>
      </c>
      <c r="D13" s="4" t="s">
        <v>318</v>
      </c>
    </row>
    <row r="14" spans="1:4">
      <c r="A14" s="3" t="s">
        <v>319</v>
      </c>
      <c r="B14" s="5">
        <f>B11-B12+B13</f>
        <v>2634.0300694604812</v>
      </c>
      <c r="C14" s="4" t="s">
        <v>74</v>
      </c>
    </row>
    <row r="15" spans="1:4">
      <c r="A15" s="2"/>
    </row>
    <row r="16" spans="1:4">
      <c r="A16" s="2"/>
    </row>
    <row r="17" spans="1:3">
      <c r="A17" s="3" t="s">
        <v>320</v>
      </c>
      <c r="B17" s="12">
        <f>B14/B6</f>
        <v>0.59748240200446789</v>
      </c>
      <c r="C17" s="4" t="s">
        <v>95</v>
      </c>
    </row>
    <row r="18" spans="1:3">
      <c r="A18" s="3" t="s">
        <v>321</v>
      </c>
      <c r="B18" s="7">
        <f>B17^(1/B7)-1</f>
        <v>-9.7878520152342885E-2</v>
      </c>
      <c r="C18" s="4" t="s">
        <v>52</v>
      </c>
    </row>
    <row r="20" spans="1:3">
      <c r="A20" s="4" t="s">
        <v>322</v>
      </c>
    </row>
  </sheetData>
  <mergeCells count="1"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BA9F-4F4B-4982-8B83-A1FCEFBD9AB6}">
  <dimension ref="A2:D24"/>
  <sheetViews>
    <sheetView workbookViewId="0">
      <selection activeCell="C27" sqref="C27"/>
    </sheetView>
  </sheetViews>
  <sheetFormatPr defaultRowHeight="15"/>
  <cols>
    <col min="1" max="1" width="60.140625" customWidth="1"/>
    <col min="2" max="4" width="19" customWidth="1"/>
  </cols>
  <sheetData>
    <row r="2" spans="1:4" ht="18.75">
      <c r="A2" s="158" t="s">
        <v>323</v>
      </c>
      <c r="B2" s="158"/>
      <c r="C2" s="158"/>
      <c r="D2" s="158"/>
    </row>
    <row r="4" spans="1:4">
      <c r="A4" s="84" t="s">
        <v>8</v>
      </c>
      <c r="B4" s="13" t="str">
        <f>Inputs!I4</f>
        <v>Downside</v>
      </c>
    </row>
    <row r="6" spans="1:4">
      <c r="A6" s="84" t="s">
        <v>324</v>
      </c>
      <c r="B6" s="84" t="s">
        <v>24</v>
      </c>
      <c r="C6" s="84" t="s">
        <v>9</v>
      </c>
    </row>
    <row r="7" spans="1:4">
      <c r="A7" s="4" t="s">
        <v>28</v>
      </c>
      <c r="B7" s="9">
        <f>Inputs!I9</f>
        <v>0.05</v>
      </c>
      <c r="C7" s="9">
        <f>Inputs!J9</f>
        <v>0.02</v>
      </c>
    </row>
    <row r="8" spans="1:4">
      <c r="A8" s="4" t="s">
        <v>146</v>
      </c>
      <c r="B8" s="9">
        <f>Inputs!I10</f>
        <v>0.52</v>
      </c>
      <c r="C8" s="9">
        <f>Inputs!J10</f>
        <v>0.48</v>
      </c>
    </row>
    <row r="9" spans="1:4">
      <c r="A9" s="4" t="s">
        <v>33</v>
      </c>
      <c r="B9" s="10">
        <f>Inputs!I11</f>
        <v>5.5</v>
      </c>
      <c r="C9" s="10">
        <f>Inputs!J11</f>
        <v>4.5</v>
      </c>
    </row>
    <row r="12" spans="1:4">
      <c r="A12" s="84" t="s">
        <v>130</v>
      </c>
      <c r="B12" s="84" t="s">
        <v>325</v>
      </c>
      <c r="C12" s="84" t="s">
        <v>326</v>
      </c>
      <c r="D12" s="84" t="s">
        <v>327</v>
      </c>
    </row>
    <row r="13" spans="1:4">
      <c r="A13" s="4" t="s">
        <v>328</v>
      </c>
      <c r="B13" s="8">
        <f>Returns!B6</f>
        <v>4408.5483699999995</v>
      </c>
    </row>
    <row r="14" spans="1:4">
      <c r="A14" s="4" t="s">
        <v>329</v>
      </c>
      <c r="B14" s="8">
        <f>Returns!B9</f>
        <v>2717.9503372114286</v>
      </c>
    </row>
    <row r="15" spans="1:4">
      <c r="A15" s="4" t="s">
        <v>330</v>
      </c>
      <c r="B15" s="8">
        <f>Returns!B12</f>
        <v>9696.7464479909468</v>
      </c>
    </row>
    <row r="16" spans="1:4">
      <c r="A16" s="4" t="s">
        <v>331</v>
      </c>
      <c r="B16" s="8">
        <f>Returns!B14</f>
        <v>2634.0300694604812</v>
      </c>
    </row>
    <row r="17" spans="1:4">
      <c r="A17" s="4" t="s">
        <v>320</v>
      </c>
      <c r="B17" s="10">
        <f>Returns!B17</f>
        <v>0.59748240200446789</v>
      </c>
      <c r="C17" s="10">
        <f>Inputs!D40</f>
        <v>2</v>
      </c>
      <c r="D17" t="str">
        <f>IF(B17&gt;=C17, "Meets target", "Below target")</f>
        <v>Below target</v>
      </c>
    </row>
    <row r="18" spans="1:4">
      <c r="A18" s="4" t="s">
        <v>332</v>
      </c>
      <c r="B18" s="9">
        <f>Returns!B18</f>
        <v>-9.7878520152342885E-2</v>
      </c>
      <c r="C18" s="9">
        <f>Inputs!D39</f>
        <v>0.15</v>
      </c>
      <c r="D18" t="str">
        <f>IF(B18&gt;=C18, "Pass", "Below minimum")</f>
        <v>Below minimum</v>
      </c>
    </row>
    <row r="19" spans="1:4">
      <c r="A19" s="4" t="s">
        <v>94</v>
      </c>
      <c r="B19" s="14">
        <f>MIN('Debt Schedule'!B23:F23)</f>
        <v>1.0557345754618539</v>
      </c>
      <c r="C19" s="14">
        <f>Inputs!D32</f>
        <v>1.25</v>
      </c>
      <c r="D19" t="str">
        <f>IF(B19&gt;=C19, "Pass", "Below minimum")</f>
        <v>Below minimum</v>
      </c>
    </row>
    <row r="20" spans="1:4">
      <c r="A20" s="4" t="s">
        <v>333</v>
      </c>
      <c r="B20" s="10">
        <f>MAX('Debt Schedule'!B22:F22)</f>
        <v>4.2014486279051733</v>
      </c>
      <c r="C20" s="10">
        <f>Inputs!D33</f>
        <v>5</v>
      </c>
      <c r="D20" t="str">
        <f>IF(B20&lt;=C20, "Pass", "Above maximum")</f>
        <v>Pass</v>
      </c>
    </row>
    <row r="23" spans="1:4">
      <c r="A23" s="4" t="s">
        <v>334</v>
      </c>
    </row>
    <row r="24" spans="1:4">
      <c r="A24" s="4" t="s">
        <v>335</v>
      </c>
    </row>
  </sheetData>
  <mergeCells count="1"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CB38-18DE-4EBF-B32B-873E2E57F5D2}">
  <dimension ref="A1:L112"/>
  <sheetViews>
    <sheetView showGridLines="0" workbookViewId="0">
      <selection activeCell="A55" sqref="A55"/>
    </sheetView>
  </sheetViews>
  <sheetFormatPr defaultRowHeight="15"/>
  <cols>
    <col min="1" max="1" width="36.140625" customWidth="1"/>
    <col min="2" max="2" width="16.140625" customWidth="1"/>
    <col min="3" max="3" width="20" customWidth="1"/>
    <col min="4" max="4" width="12.42578125" customWidth="1"/>
    <col min="5" max="6" width="2.85546875" customWidth="1"/>
    <col min="7" max="7" width="19" customWidth="1"/>
    <col min="8" max="12" width="11.85546875" customWidth="1"/>
  </cols>
  <sheetData>
    <row r="1" spans="1:12" ht="17.25" customHeight="1">
      <c r="A1" s="115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</row>
    <row r="2" spans="1:12" ht="17.25" customHeight="1">
      <c r="A2" s="141" t="s">
        <v>336</v>
      </c>
      <c r="B2" s="141"/>
      <c r="C2" s="141"/>
      <c r="D2" s="141"/>
      <c r="E2" s="115"/>
      <c r="F2" s="115"/>
      <c r="G2" s="115"/>
      <c r="H2" s="115"/>
      <c r="I2" s="115"/>
      <c r="J2" s="115"/>
      <c r="K2" s="115"/>
      <c r="L2" s="115"/>
    </row>
    <row r="3" spans="1:12" ht="17.25" customHeight="1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1:12" ht="17.25" customHeight="1">
      <c r="A4" s="116" t="s">
        <v>8</v>
      </c>
      <c r="B4" s="117" t="str">
        <f>Inputs!I4</f>
        <v>Downside</v>
      </c>
      <c r="C4" s="115"/>
      <c r="D4" s="115"/>
      <c r="E4" s="115"/>
      <c r="F4" s="115"/>
      <c r="G4" s="115"/>
      <c r="H4" s="115"/>
      <c r="I4" s="115"/>
      <c r="J4" s="115"/>
      <c r="K4" s="115"/>
      <c r="L4" s="115"/>
    </row>
    <row r="5" spans="1:12" ht="17.25" customHeight="1">
      <c r="A5" s="115"/>
      <c r="B5" s="118"/>
      <c r="C5" s="115"/>
      <c r="D5" s="115"/>
      <c r="E5" s="115"/>
      <c r="F5" s="115"/>
      <c r="G5" s="115"/>
      <c r="H5" s="115"/>
      <c r="I5" s="115"/>
      <c r="J5" s="115"/>
      <c r="K5" s="115"/>
      <c r="L5" s="115"/>
    </row>
    <row r="6" spans="1:12" ht="21.75" customHeight="1">
      <c r="A6" s="135" t="s">
        <v>337</v>
      </c>
      <c r="B6" s="136"/>
      <c r="C6" s="135"/>
      <c r="D6" s="135"/>
      <c r="E6" s="115"/>
      <c r="F6" s="115"/>
      <c r="G6" s="115"/>
      <c r="H6" s="115"/>
      <c r="I6" s="115"/>
      <c r="J6" s="115"/>
      <c r="K6" s="115"/>
      <c r="L6" s="115"/>
    </row>
    <row r="7" spans="1:12" ht="17.25" customHeight="1">
      <c r="A7" s="115" t="s">
        <v>320</v>
      </c>
      <c r="B7" s="119">
        <f>Returns!B17</f>
        <v>0.59748240200446789</v>
      </c>
      <c r="C7" s="115" t="s">
        <v>338</v>
      </c>
      <c r="D7" s="120">
        <f>Inputs!D40</f>
        <v>2</v>
      </c>
      <c r="E7" s="115"/>
      <c r="F7" s="115"/>
      <c r="G7" s="115"/>
      <c r="H7" s="115"/>
      <c r="I7" s="115"/>
      <c r="J7" s="115"/>
      <c r="K7" s="115"/>
      <c r="L7" s="115"/>
    </row>
    <row r="8" spans="1:12" ht="17.25" customHeight="1">
      <c r="A8" s="115" t="s">
        <v>321</v>
      </c>
      <c r="B8" s="121">
        <f>Returns!B18</f>
        <v>-9.7878520152342885E-2</v>
      </c>
      <c r="C8" s="115" t="s">
        <v>339</v>
      </c>
      <c r="D8" s="122">
        <f>Inputs!D39</f>
        <v>0.15</v>
      </c>
      <c r="E8" s="115"/>
      <c r="F8" s="115"/>
      <c r="G8" s="115"/>
      <c r="H8" s="115"/>
      <c r="I8" s="115"/>
      <c r="J8" s="115"/>
      <c r="K8" s="115"/>
      <c r="L8" s="115"/>
    </row>
    <row r="9" spans="1:12" ht="17.25" customHeight="1">
      <c r="A9" s="115"/>
      <c r="B9" s="118"/>
      <c r="C9" s="115" t="s">
        <v>110</v>
      </c>
      <c r="D9" s="122">
        <f>Inputs!D38</f>
        <v>0.2</v>
      </c>
      <c r="E9" s="115"/>
      <c r="F9" s="115"/>
      <c r="G9" s="115"/>
      <c r="H9" s="115"/>
      <c r="I9" s="115"/>
      <c r="J9" s="115"/>
      <c r="K9" s="115"/>
      <c r="L9" s="115"/>
    </row>
    <row r="10" spans="1:12" ht="21.75" customHeight="1">
      <c r="A10" s="135" t="s">
        <v>340</v>
      </c>
      <c r="B10" s="136"/>
      <c r="C10" s="135"/>
      <c r="D10" s="135"/>
      <c r="E10" s="115"/>
      <c r="F10" s="115"/>
      <c r="G10" s="115"/>
      <c r="H10" s="115"/>
      <c r="I10" s="115"/>
      <c r="J10" s="115"/>
      <c r="K10" s="115"/>
      <c r="L10" s="115"/>
    </row>
    <row r="11" spans="1:12" ht="17.25" customHeight="1">
      <c r="A11" s="115" t="s">
        <v>94</v>
      </c>
      <c r="B11" s="123">
        <f>Downside!B19</f>
        <v>1.0557345754618539</v>
      </c>
      <c r="C11" s="115" t="s">
        <v>94</v>
      </c>
      <c r="D11" s="124">
        <f>Inputs!D32</f>
        <v>1.25</v>
      </c>
      <c r="E11" s="115"/>
      <c r="F11" s="115"/>
      <c r="G11" s="115"/>
      <c r="H11" s="115"/>
      <c r="I11" s="115"/>
      <c r="J11" s="115"/>
      <c r="K11" s="115"/>
      <c r="L11" s="115"/>
    </row>
    <row r="12" spans="1:12" ht="17.25" customHeight="1">
      <c r="A12" s="115" t="s">
        <v>341</v>
      </c>
      <c r="B12" s="119">
        <f>Downside!B20</f>
        <v>4.2014486279051733</v>
      </c>
      <c r="C12" s="115" t="s">
        <v>342</v>
      </c>
      <c r="D12" s="120">
        <f>Inputs!D33</f>
        <v>5</v>
      </c>
      <c r="E12" s="115"/>
      <c r="F12" s="115"/>
      <c r="G12" s="115"/>
      <c r="H12" s="115"/>
      <c r="I12" s="115"/>
      <c r="J12" s="115"/>
      <c r="K12" s="115"/>
      <c r="L12" s="115"/>
    </row>
    <row r="13" spans="1:12" ht="17.25" customHeight="1">
      <c r="A13" s="115"/>
      <c r="B13" s="118"/>
      <c r="C13" s="115"/>
      <c r="D13" s="115"/>
      <c r="E13" s="115"/>
      <c r="F13" s="115"/>
      <c r="G13" s="115"/>
      <c r="H13" s="115"/>
      <c r="I13" s="115"/>
      <c r="J13" s="115"/>
      <c r="K13" s="115"/>
      <c r="L13" s="115"/>
    </row>
    <row r="14" spans="1:12" ht="21.75" customHeight="1">
      <c r="A14" s="135" t="s">
        <v>343</v>
      </c>
      <c r="B14" s="136"/>
      <c r="C14" s="135"/>
      <c r="D14" s="135"/>
      <c r="E14" s="115"/>
      <c r="F14" s="115"/>
      <c r="G14" s="115"/>
      <c r="H14" s="115"/>
      <c r="I14" s="115"/>
      <c r="J14" s="115"/>
      <c r="K14" s="115"/>
      <c r="L14" s="115"/>
    </row>
    <row r="15" spans="1:12" ht="17.25" customHeight="1">
      <c r="A15" s="115" t="s">
        <v>344</v>
      </c>
      <c r="B15" s="125">
        <f>Transaction!F17</f>
        <v>4408.5483699999995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</row>
    <row r="16" spans="1:12" ht="17.25" customHeight="1">
      <c r="A16" s="115" t="s">
        <v>275</v>
      </c>
      <c r="B16" s="125">
        <f>Transaction!B8</f>
        <v>14718.643500000002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</row>
    <row r="17" spans="1:12" ht="17.25" customHeight="1">
      <c r="A17" s="115" t="s">
        <v>316</v>
      </c>
      <c r="B17" s="125">
        <f>Returns!B12</f>
        <v>9696.7464479909468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</row>
    <row r="18" spans="1:12" ht="21.75" customHeight="1">
      <c r="A18" s="115"/>
      <c r="B18" s="115"/>
      <c r="C18" s="115"/>
      <c r="D18" s="115"/>
      <c r="E18" s="115"/>
      <c r="F18" s="115"/>
      <c r="G18" s="135" t="s">
        <v>345</v>
      </c>
      <c r="H18" s="135"/>
      <c r="I18" s="135"/>
      <c r="J18" s="135"/>
      <c r="K18" s="135"/>
      <c r="L18" s="135"/>
    </row>
    <row r="19" spans="1:12" ht="21.75" customHeight="1">
      <c r="A19" s="135" t="s">
        <v>346</v>
      </c>
      <c r="B19" s="135"/>
      <c r="C19" s="135"/>
      <c r="D19" s="135"/>
      <c r="E19" s="115"/>
      <c r="F19" s="115"/>
      <c r="G19" s="115" t="s">
        <v>347</v>
      </c>
      <c r="H19" s="126">
        <v>3.5</v>
      </c>
      <c r="I19" s="126">
        <v>4</v>
      </c>
      <c r="J19" s="126">
        <v>4.5</v>
      </c>
      <c r="K19" s="126">
        <v>5</v>
      </c>
      <c r="L19" s="126">
        <v>5.5</v>
      </c>
    </row>
    <row r="20" spans="1:12" ht="17.25" customHeight="1">
      <c r="A20" s="115" t="s">
        <v>348</v>
      </c>
      <c r="B20" s="127">
        <f>Transaction!B21</f>
        <v>0</v>
      </c>
      <c r="C20" s="115"/>
      <c r="D20" s="115"/>
      <c r="E20" s="115"/>
      <c r="F20" s="115"/>
      <c r="G20" s="128">
        <v>-0.2</v>
      </c>
      <c r="H20" s="129">
        <f>(MAX(0,Returns!$B$9*(1+$G20)*H$19-Returns!$B$12+Returns!$B$13)/Returns!$B$6)^(1/Returns!$B$7)-1</f>
        <v>-1</v>
      </c>
      <c r="I20" s="129">
        <f>(MAX(0,Returns!$B$9*(1+$G20)*I$19-Returns!$B$12+Returns!$B$13)/Returns!$B$6)^(1/Returns!$B$7)-1</f>
        <v>-1</v>
      </c>
      <c r="J20" s="129">
        <f>(MAX(0,Returns!$B$9*(1+$G20)*J$19-Returns!$B$12+Returns!$B$13)/Returns!$B$6)^(1/Returns!$B$7)-1</f>
        <v>-0.46799640322581493</v>
      </c>
      <c r="K20" s="129">
        <f>(MAX(0,Returns!$B$9*(1+$G20)*K$19-Returns!$B$12+Returns!$B$13)/Returns!$B$6)^(1/Returns!$B$7)-1</f>
        <v>-0.21972686386144114</v>
      </c>
      <c r="L20" s="129">
        <f>(MAX(0,Returns!$B$9*(1+$G20)*L$19-Returns!$B$12+Returns!$B$13)/Returns!$B$6)^(1/Returns!$B$7)-1</f>
        <v>-0.11731550233193322</v>
      </c>
    </row>
    <row r="21" spans="1:12" ht="17.25" customHeight="1">
      <c r="A21" s="115" t="s">
        <v>349</v>
      </c>
      <c r="B21" s="115" t="str">
        <f>IF(AND(COUNT('Debt Schedule'!B27:F28)=10,MAX('Debt Schedule'!B27:F28)&lt;=0.01,MIN('Debt Schedule'!B27:F28)&gt;=-0.01),"Pass","Review")</f>
        <v>Pass</v>
      </c>
      <c r="C21" s="115"/>
      <c r="D21" s="115"/>
      <c r="E21" s="115"/>
      <c r="F21" s="115"/>
      <c r="G21" s="128">
        <v>-0.1</v>
      </c>
      <c r="H21" s="129">
        <f>(MAX(0,Returns!$B$9*(1+$G21)*H$19-Returns!$B$12+Returns!$B$13)/Returns!$B$6)^(1/Returns!$B$7)-1</f>
        <v>-1</v>
      </c>
      <c r="I21" s="129">
        <f>(MAX(0,Returns!$B$9*(1+$G21)*I$19-Returns!$B$12+Returns!$B$13)/Returns!$B$6)^(1/Returns!$B$7)-1</f>
        <v>-0.46799640322581493</v>
      </c>
      <c r="J21" s="129">
        <f>(MAX(0,Returns!$B$9*(1+$G21)*J$19-Returns!$B$12+Returns!$B$13)/Returns!$B$6)^(1/Returns!$B$7)-1</f>
        <v>-0.20376117243571501</v>
      </c>
      <c r="K21" s="129">
        <f>(MAX(0,Returns!$B$9*(1+$G21)*K$19-Returns!$B$12+Returns!$B$13)/Returns!$B$6)^(1/Returns!$B$7)-1</f>
        <v>-9.7878520152342885E-2</v>
      </c>
      <c r="L21" s="129">
        <f>(MAX(0,Returns!$B$9*(1+$G21)*L$19-Returns!$B$12+Returns!$B$13)/Returns!$B$6)^(1/Returns!$B$7)-1</f>
        <v>-2.6371604217926059E-2</v>
      </c>
    </row>
    <row r="22" spans="1:12" ht="17.25" customHeight="1">
      <c r="A22" s="115"/>
      <c r="B22" s="115"/>
      <c r="C22" s="115"/>
      <c r="D22" s="115"/>
      <c r="E22" s="115"/>
      <c r="F22" s="115"/>
      <c r="G22" s="128">
        <v>0</v>
      </c>
      <c r="H22" s="129">
        <f>(MAX(0,Returns!$B$9*(1+$G22)*H$19-Returns!$B$12+Returns!$B$13)/Returns!$B$6)^(1/Returns!$B$7)-1</f>
        <v>-1</v>
      </c>
      <c r="I22" s="129">
        <f>(MAX(0,Returns!$B$9*(1+$G22)*I$19-Returns!$B$12+Returns!$B$13)/Returns!$B$6)^(1/Returns!$B$7)-1</f>
        <v>-0.21972686386144114</v>
      </c>
      <c r="J22" s="129">
        <f>(MAX(0,Returns!$B$9*(1+$G22)*J$19-Returns!$B$12+Returns!$B$13)/Returns!$B$6)^(1/Returns!$B$7)-1</f>
        <v>-9.7878520152342885E-2</v>
      </c>
      <c r="K22" s="129">
        <f>(MAX(0,Returns!$B$9*(1+$G22)*K$19-Returns!$B$12+Returns!$B$13)/Returns!$B$6)^(1/Returns!$B$7)-1</f>
        <v>-1.9605527663411948E-2</v>
      </c>
      <c r="L22" s="129">
        <f>(MAX(0,Returns!$B$9*(1+$G22)*L$19-Returns!$B$12+Returns!$B$13)/Returns!$B$6)^(1/Returns!$B$7)-1</f>
        <v>3.954616580912762E-2</v>
      </c>
    </row>
    <row r="23" spans="1:12" ht="24" customHeight="1">
      <c r="A23" s="116" t="s">
        <v>350</v>
      </c>
      <c r="B23" s="143" t="str">
        <f>IF(AND(B7&gt;=D7,B8&gt;=D8,B11&gt;=D11,B12&lt;=D12),"Meets all thresholds","Does not meet all thresholds")</f>
        <v>Does not meet all thresholds</v>
      </c>
      <c r="C23" s="143"/>
      <c r="D23" s="143"/>
      <c r="E23" s="115"/>
      <c r="F23" s="115"/>
      <c r="G23" s="128">
        <v>0.10000000000000003</v>
      </c>
      <c r="H23" s="129">
        <f>(MAX(0,Returns!$B$9*(1+$G23)*H$19-Returns!$B$12+Returns!$B$13)/Returns!$B$6)^(1/Returns!$B$7)-1</f>
        <v>-0.27759458730552766</v>
      </c>
      <c r="I23" s="129">
        <f>(MAX(0,Returns!$B$9*(1+$G23)*I$19-Returns!$B$12+Returns!$B$13)/Returns!$B$6)^(1/Returns!$B$7)-1</f>
        <v>-0.11731550233193322</v>
      </c>
      <c r="J23" s="129">
        <f>(MAX(0,Returns!$B$9*(1+$G23)*J$19-Returns!$B$12+Returns!$B$13)/Returns!$B$6)^(1/Returns!$B$7)-1</f>
        <v>-2.6371604217926059E-2</v>
      </c>
      <c r="K23" s="129">
        <f>(MAX(0,Returns!$B$9*(1+$G23)*K$19-Returns!$B$12+Returns!$B$13)/Returns!$B$6)^(1/Returns!$B$7)-1</f>
        <v>3.954616580912762E-2</v>
      </c>
      <c r="L23" s="129">
        <f>(MAX(0,Returns!$B$9*(1+$G23)*L$19-Returns!$B$12+Returns!$B$13)/Returns!$B$6)^(1/Returns!$B$7)-1</f>
        <v>9.2041341723926973E-2</v>
      </c>
    </row>
    <row r="24" spans="1:12" ht="17.25" customHeight="1">
      <c r="A24" s="115"/>
      <c r="B24" s="115"/>
      <c r="C24" s="115"/>
      <c r="D24" s="115"/>
      <c r="E24" s="115"/>
      <c r="F24" s="115"/>
      <c r="G24" s="128">
        <v>0.2</v>
      </c>
      <c r="H24" s="129">
        <f>(MAX(0,Returns!$B$9*(1+$G24)*H$19-Returns!$B$12+Returns!$B$13)/Returns!$B$6)^(1/Returns!$B$7)-1</f>
        <v>-0.16229624332235038</v>
      </c>
      <c r="I24" s="129">
        <f>(MAX(0,Returns!$B$9*(1+$G24)*I$19-Returns!$B$12+Returns!$B$13)/Returns!$B$6)^(1/Returns!$B$7)-1</f>
        <v>-4.7883762387401885E-2</v>
      </c>
      <c r="J24" s="129">
        <f>(MAX(0,Returns!$B$9*(1+$G24)*J$19-Returns!$B$12+Returns!$B$13)/Returns!$B$6)^(1/Returns!$B$7)-1</f>
        <v>2.8766443495819027E-2</v>
      </c>
      <c r="K24" s="129">
        <f>(MAX(0,Returns!$B$9*(1+$G24)*K$19-Returns!$B$12+Returns!$B$13)/Returns!$B$6)^(1/Returns!$B$7)-1</f>
        <v>8.7671504462286887E-2</v>
      </c>
      <c r="L24" s="129">
        <f>(MAX(0,Returns!$B$9*(1+$G24)*L$19-Returns!$B$12+Returns!$B$13)/Returns!$B$6)^(1/Returns!$B$7)-1</f>
        <v>0.13603591038386642</v>
      </c>
    </row>
    <row r="25" spans="1:12" ht="17.25" customHeight="1">
      <c r="A25" s="115"/>
      <c r="B25" s="115"/>
      <c r="C25" s="115"/>
      <c r="D25" s="115"/>
      <c r="E25" s="115"/>
      <c r="F25" s="115"/>
      <c r="G25" s="115"/>
      <c r="H25" s="115"/>
      <c r="I25" s="130"/>
      <c r="J25" s="130"/>
      <c r="K25" s="130"/>
      <c r="L25" s="130"/>
    </row>
    <row r="26" spans="1:12" ht="24" customHeight="1">
      <c r="A26" s="115"/>
      <c r="B26" s="115"/>
      <c r="C26" s="115"/>
      <c r="D26" s="115"/>
      <c r="E26" s="115"/>
      <c r="F26" s="115"/>
      <c r="G26" s="144" t="s">
        <v>351</v>
      </c>
      <c r="H26" s="144"/>
      <c r="I26" s="144"/>
      <c r="J26" s="144"/>
      <c r="K26" s="144"/>
      <c r="L26" s="144"/>
    </row>
    <row r="27" spans="1:12" ht="24" customHeight="1">
      <c r="A27" s="142" t="s">
        <v>352</v>
      </c>
      <c r="B27" s="142"/>
      <c r="C27" s="142"/>
      <c r="D27" s="115"/>
      <c r="E27" s="115"/>
      <c r="F27" s="115"/>
      <c r="G27" s="144" t="s">
        <v>353</v>
      </c>
      <c r="H27" s="144"/>
      <c r="I27" s="144"/>
      <c r="J27" s="144"/>
      <c r="K27" s="144"/>
      <c r="L27" s="144"/>
    </row>
    <row r="28" spans="1:12" ht="21.75" customHeight="1">
      <c r="A28" s="137" t="s">
        <v>130</v>
      </c>
      <c r="B28" s="137" t="s">
        <v>24</v>
      </c>
      <c r="C28" s="137" t="s">
        <v>9</v>
      </c>
      <c r="D28" s="115"/>
      <c r="E28" s="115"/>
      <c r="F28" s="115"/>
      <c r="G28" s="115"/>
      <c r="H28" s="115"/>
      <c r="I28" s="115"/>
      <c r="J28" s="115"/>
      <c r="K28" s="115"/>
      <c r="L28" s="115"/>
    </row>
    <row r="29" spans="1:12" ht="17.25" customHeight="1">
      <c r="A29" s="115" t="s">
        <v>329</v>
      </c>
      <c r="B29" s="131">
        <f>'Scenario Comparison'!B9</f>
        <v>3403.6842088123885</v>
      </c>
      <c r="C29" s="131">
        <f>'Scenario Comparison'!C9</f>
        <v>2717.9503372114286</v>
      </c>
      <c r="D29" s="115"/>
      <c r="E29" s="115"/>
      <c r="F29" s="115"/>
      <c r="G29" s="115"/>
      <c r="H29" s="115"/>
      <c r="I29" s="115"/>
      <c r="J29" s="115"/>
      <c r="K29" s="115"/>
      <c r="L29" s="115"/>
    </row>
    <row r="30" spans="1:12" ht="17.25" customHeight="1">
      <c r="A30" s="115" t="s">
        <v>330</v>
      </c>
      <c r="B30" s="131">
        <f>'Scenario Comparison'!B10</f>
        <v>8462.2107603755212</v>
      </c>
      <c r="C30" s="131">
        <f>'Scenario Comparison'!C10</f>
        <v>9696.7464479909468</v>
      </c>
      <c r="D30" s="115"/>
      <c r="E30" s="115"/>
      <c r="F30" s="115"/>
      <c r="G30" s="115"/>
      <c r="H30" s="115"/>
      <c r="I30" s="115"/>
      <c r="J30" s="115"/>
      <c r="K30" s="115"/>
      <c r="L30" s="115"/>
    </row>
    <row r="31" spans="1:12" ht="17.25" customHeight="1">
      <c r="A31" s="115" t="s">
        <v>331</v>
      </c>
      <c r="B31" s="131">
        <f>'Scenario Comparison'!B11</f>
        <v>10358.052388092616</v>
      </c>
      <c r="C31" s="131">
        <f>'Scenario Comparison'!C11</f>
        <v>2634.0300694604812</v>
      </c>
      <c r="D31" s="115"/>
      <c r="E31" s="115"/>
      <c r="F31" s="115"/>
      <c r="G31" s="115"/>
      <c r="H31" s="115"/>
      <c r="I31" s="115"/>
      <c r="J31" s="115"/>
      <c r="K31" s="115"/>
      <c r="L31" s="115"/>
    </row>
    <row r="32" spans="1:12" ht="17.25" customHeight="1">
      <c r="A32" s="115" t="s">
        <v>320</v>
      </c>
      <c r="B32" s="132">
        <f>'Scenario Comparison'!B12</f>
        <v>2.3495381061436822</v>
      </c>
      <c r="C32" s="132">
        <f>'Scenario Comparison'!C12</f>
        <v>0.59748240200446789</v>
      </c>
      <c r="D32" s="115"/>
      <c r="E32" s="115"/>
      <c r="F32" s="115"/>
      <c r="G32" s="115"/>
      <c r="H32" s="115"/>
      <c r="I32" s="115"/>
      <c r="J32" s="115"/>
      <c r="K32" s="115"/>
      <c r="L32" s="115"/>
    </row>
    <row r="33" spans="1:12" ht="17.25" customHeight="1">
      <c r="A33" s="115" t="s">
        <v>321</v>
      </c>
      <c r="B33" s="133">
        <f>'Scenario Comparison'!B13</f>
        <v>0.1863053762848037</v>
      </c>
      <c r="C33" s="133">
        <f>'Scenario Comparison'!C13</f>
        <v>-9.7878520152342885E-2</v>
      </c>
      <c r="D33" s="115"/>
      <c r="E33" s="115"/>
      <c r="F33" s="115"/>
      <c r="G33" s="115"/>
      <c r="H33" s="115"/>
      <c r="I33" s="115"/>
      <c r="J33" s="115"/>
      <c r="K33" s="115"/>
      <c r="L33" s="115"/>
    </row>
    <row r="34" spans="1:12" ht="17.25" customHeight="1">
      <c r="A34" s="115" t="s">
        <v>94</v>
      </c>
      <c r="B34" s="134">
        <f>'Scenario Comparison'!B14</f>
        <v>1.2469799574287579</v>
      </c>
      <c r="C34" s="134">
        <f>'Scenario Comparison'!C14</f>
        <v>1.0557345754618539</v>
      </c>
      <c r="D34" s="115"/>
      <c r="E34" s="115"/>
      <c r="F34" s="115"/>
      <c r="G34" s="115"/>
      <c r="H34" s="115"/>
      <c r="I34" s="115"/>
      <c r="J34" s="115"/>
      <c r="K34" s="115"/>
      <c r="L34" s="115"/>
    </row>
    <row r="35" spans="1:12" ht="17.25" customHeight="1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</row>
    <row r="36" spans="1:12" ht="17.25" customHeight="1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</row>
    <row r="37" spans="1:12" ht="17.25" customHeight="1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</row>
    <row r="38" spans="1:12" ht="17.25" customHeight="1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</row>
    <row r="39" spans="1:12" ht="17.25" customHeight="1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</row>
    <row r="40" spans="1:12" ht="17.25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</row>
    <row r="41" spans="1:12" ht="17.25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</row>
    <row r="42" spans="1:12" ht="17.2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</row>
    <row r="43" spans="1:12" ht="17.25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</row>
    <row r="44" spans="1:12" ht="17.25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</row>
    <row r="45" spans="1:12" ht="17.25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</row>
    <row r="46" spans="1:12" ht="17.25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</row>
    <row r="47" spans="1:12" ht="17.25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</row>
    <row r="48" spans="1:12" ht="17.25" customHeight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</row>
    <row r="49" spans="1:12" ht="17.25" customHeight="1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</row>
    <row r="50" spans="1:12" ht="17.25" customHeight="1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</row>
    <row r="51" spans="1:12" ht="17.25" customHeight="1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</row>
    <row r="52" spans="1:12" ht="17.25" customHeight="1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</row>
    <row r="53" spans="1:12" ht="17.25" customHeight="1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</row>
    <row r="54" spans="1:12" ht="17.25" customHeight="1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</row>
    <row r="55" spans="1:12" ht="17.25" customHeight="1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</row>
    <row r="100" spans="1:11">
      <c r="A100" s="17" t="s">
        <v>21</v>
      </c>
      <c r="B100" s="17" t="s">
        <v>354</v>
      </c>
      <c r="C100" s="17" t="s">
        <v>355</v>
      </c>
      <c r="G100" s="86" t="s">
        <v>356</v>
      </c>
      <c r="H100" s="87"/>
    </row>
    <row r="101" spans="1:11">
      <c r="A101" t="str" cm="1">
        <f t="array" ref="A101">INDEX('Operating Model'!$C$4:$G$4,1,ROWS($A$101:A101))</f>
        <v>2026E</v>
      </c>
      <c r="B101" s="8" cm="1">
        <f t="array" ref="B101">INDEX('Operating Model'!$C$7:$G$7,1,ROWS($A$101:A101))</f>
        <v>5231.1791400000002</v>
      </c>
      <c r="C101" s="8" cm="1">
        <f t="array" ref="C101">INDEX('Operating Model'!$C$11:$G$11,1,ROWS($A$101:A101))</f>
        <v>2510.9659872000002</v>
      </c>
      <c r="G101" s="84" t="s">
        <v>21</v>
      </c>
      <c r="H101" s="84" t="s">
        <v>24</v>
      </c>
      <c r="I101" t="s">
        <v>9</v>
      </c>
    </row>
    <row r="102" spans="1:11">
      <c r="A102" t="str">
        <f>'Operating Model'!D4</f>
        <v>2027E</v>
      </c>
      <c r="B102" s="8" cm="1">
        <f t="array" ref="B102">INDEX('Operating Model'!$C$7:$G$7,1,ROWS($A$101:A102))</f>
        <v>5335.8027228000001</v>
      </c>
      <c r="C102" s="8" cm="1">
        <f t="array" ref="C102">INDEX('Operating Model'!$C$11:$G$11,1,ROWS($A$101:A102))</f>
        <v>2561.1853069439999</v>
      </c>
      <c r="G102" t="str">
        <f>'Scenario Comparison'!B34</f>
        <v>2026E</v>
      </c>
      <c r="H102" s="8">
        <f>'Scenario Comparison'!B43</f>
        <v>10385.920195925</v>
      </c>
      <c r="I102" s="8">
        <f>'Scenario Comparison'!I43</f>
        <v>10549.694601638001</v>
      </c>
    </row>
    <row r="103" spans="1:11">
      <c r="A103" t="str">
        <f>'Operating Model'!E4</f>
        <v>2028E</v>
      </c>
      <c r="B103" s="8" cm="1">
        <f t="array" ref="B103">INDEX('Operating Model'!$C$7:$G$7,1,ROWS($A$101:A103))</f>
        <v>5442.5187772560002</v>
      </c>
      <c r="C103" s="8" cm="1">
        <f t="array" ref="C103">INDEX('Operating Model'!$C$11:$G$11,1,ROWS($A$101:A103))</f>
        <v>2612.4090130828799</v>
      </c>
      <c r="G103" t="str">
        <f>'Scenario Comparison'!C34</f>
        <v>2027E</v>
      </c>
      <c r="H103" s="8">
        <f>'Scenario Comparison'!C43</f>
        <v>10007.817293118016</v>
      </c>
      <c r="I103" s="8">
        <f>'Scenario Comparison'!J43</f>
        <v>10372.976848356462</v>
      </c>
    </row>
    <row r="104" spans="1:11">
      <c r="A104" t="str">
        <f>'Operating Model'!F4</f>
        <v>2029E</v>
      </c>
      <c r="B104" s="8" cm="1">
        <f t="array" ref="B104">INDEX('Operating Model'!$C$7:$G$7,1,ROWS($A$101:A104))</f>
        <v>5551.3691528011204</v>
      </c>
      <c r="C104" s="8" cm="1">
        <f t="array" ref="C104">INDEX('Operating Model'!$C$11:$G$11,1,ROWS($A$101:A104))</f>
        <v>2664.6571933445375</v>
      </c>
      <c r="G104" t="str">
        <f>'Scenario Comparison'!D34</f>
        <v>2028E</v>
      </c>
      <c r="H104" s="8">
        <f>'Scenario Comparison'!D43</f>
        <v>9564.9521607366587</v>
      </c>
      <c r="I104" s="8">
        <f>'Scenario Comparison'!K43</f>
        <v>10172.912674933732</v>
      </c>
    </row>
    <row r="105" spans="1:11">
      <c r="A105" t="str">
        <f>'Operating Model'!G4</f>
        <v>2030E</v>
      </c>
      <c r="B105" s="8" cm="1">
        <f t="array" ref="B105">INDEX('Operating Model'!$C$7:$G$7,1,ROWS($A$101:A105))</f>
        <v>5662.3965358571431</v>
      </c>
      <c r="C105" s="8" cm="1">
        <f t="array" ref="C105">INDEX('Operating Model'!$C$11:$G$11,1,ROWS($A$101:A105))</f>
        <v>2717.9503372114286</v>
      </c>
      <c r="G105" t="str">
        <f>'Scenario Comparison'!E34</f>
        <v>2029E</v>
      </c>
      <c r="H105" s="8">
        <f>'Scenario Comparison'!E43</f>
        <v>9051.7433902876292</v>
      </c>
      <c r="I105" s="8">
        <f>'Scenario Comparison'!L43</f>
        <v>9948.0227564416255</v>
      </c>
    </row>
    <row r="106" spans="1:11">
      <c r="G106" t="str">
        <f>'Scenario Comparison'!F34</f>
        <v>2030E</v>
      </c>
      <c r="H106" s="8">
        <f>'Scenario Comparison'!F43</f>
        <v>8462.2107603755212</v>
      </c>
      <c r="I106" s="8">
        <f>'Scenario Comparison'!M43</f>
        <v>9696.7464479909468</v>
      </c>
    </row>
    <row r="110" spans="1:11">
      <c r="F110" t="s">
        <v>357</v>
      </c>
      <c r="G110" t="s">
        <v>110</v>
      </c>
      <c r="I110" t="s">
        <v>358</v>
      </c>
      <c r="J110" t="s">
        <v>24</v>
      </c>
      <c r="K110" t="s">
        <v>9</v>
      </c>
    </row>
    <row r="111" spans="1:11">
      <c r="E111" t="s">
        <v>24</v>
      </c>
      <c r="F111" s="89">
        <f>'Scenario Comparison'!B13</f>
        <v>0.1863053762848037</v>
      </c>
      <c r="G111" s="89">
        <f>Inputs!$D$38</f>
        <v>0.2</v>
      </c>
      <c r="I111" t="s">
        <v>24</v>
      </c>
      <c r="J111" s="89">
        <f>F111</f>
        <v>0.1863053762848037</v>
      </c>
    </row>
    <row r="112" spans="1:11">
      <c r="E112" t="s">
        <v>9</v>
      </c>
      <c r="F112" s="89">
        <f>'Scenario Comparison'!C13</f>
        <v>-9.7878520152342885E-2</v>
      </c>
      <c r="G112" s="89">
        <f>Inputs!$D$38</f>
        <v>0.2</v>
      </c>
      <c r="I112" t="s">
        <v>9</v>
      </c>
      <c r="K112" s="89">
        <f>F112</f>
        <v>-9.7878520152342885E-2</v>
      </c>
    </row>
  </sheetData>
  <mergeCells count="5">
    <mergeCell ref="A2:D2"/>
    <mergeCell ref="A27:C27"/>
    <mergeCell ref="B23:D23"/>
    <mergeCell ref="G26:L26"/>
    <mergeCell ref="G27:L2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DEBE-50C7-4672-8AE1-037AAAA58084}">
  <dimension ref="A2:O70"/>
  <sheetViews>
    <sheetView tabSelected="1" topLeftCell="A29" workbookViewId="0">
      <selection activeCell="F72" sqref="F72"/>
    </sheetView>
  </sheetViews>
  <sheetFormatPr defaultRowHeight="15"/>
  <cols>
    <col min="1" max="1" width="28.140625" customWidth="1"/>
    <col min="2" max="2" width="20.7109375" customWidth="1"/>
    <col min="3" max="3" width="14.7109375" customWidth="1"/>
    <col min="4" max="4" width="17.7109375" customWidth="1"/>
    <col min="5" max="5" width="18.42578125" customWidth="1"/>
    <col min="6" max="6" width="23.42578125" customWidth="1"/>
    <col min="7" max="7" width="19.7109375" customWidth="1"/>
    <col min="8" max="8" width="29.5703125" customWidth="1"/>
    <col min="9" max="9" width="13.5703125" customWidth="1"/>
    <col min="10" max="10" width="14.140625" customWidth="1"/>
    <col min="11" max="12" width="14.42578125" customWidth="1"/>
    <col min="13" max="13" width="13.85546875" customWidth="1"/>
  </cols>
  <sheetData>
    <row r="2" spans="1:7" ht="18.75">
      <c r="A2" s="158" t="s">
        <v>359</v>
      </c>
      <c r="B2" s="158"/>
      <c r="C2" s="158"/>
      <c r="D2" s="158"/>
      <c r="E2" s="158"/>
      <c r="F2" s="158"/>
      <c r="G2" s="158"/>
    </row>
    <row r="4" spans="1:7">
      <c r="A4" s="84" t="s">
        <v>130</v>
      </c>
      <c r="B4" s="84" t="s">
        <v>24</v>
      </c>
      <c r="C4" s="84" t="s">
        <v>9</v>
      </c>
    </row>
    <row r="5" spans="1:7">
      <c r="A5" t="s">
        <v>28</v>
      </c>
      <c r="B5" s="89">
        <f>Inputs!I9</f>
        <v>0.05</v>
      </c>
      <c r="C5" s="89">
        <f>Inputs!J9</f>
        <v>0.02</v>
      </c>
    </row>
    <row r="6" spans="1:7">
      <c r="A6" t="s">
        <v>146</v>
      </c>
      <c r="B6" s="89">
        <f>Inputs!I10</f>
        <v>0.52</v>
      </c>
      <c r="C6" s="89">
        <f>Inputs!J10</f>
        <v>0.48</v>
      </c>
    </row>
    <row r="7" spans="1:7">
      <c r="A7" t="s">
        <v>33</v>
      </c>
      <c r="B7" s="94">
        <f>Inputs!I11</f>
        <v>5.5</v>
      </c>
      <c r="C7" s="94">
        <f>Inputs!J11</f>
        <v>4.5</v>
      </c>
    </row>
    <row r="9" spans="1:7">
      <c r="A9" t="s">
        <v>329</v>
      </c>
      <c r="B9" s="91">
        <f>F22</f>
        <v>3403.6842088123885</v>
      </c>
      <c r="C9" s="91">
        <f>M22</f>
        <v>2717.9503372114286</v>
      </c>
    </row>
    <row r="10" spans="1:7">
      <c r="A10" t="s">
        <v>330</v>
      </c>
      <c r="B10" s="91">
        <f>F43</f>
        <v>8462.2107603755212</v>
      </c>
      <c r="C10" s="91">
        <f>M43</f>
        <v>9696.7464479909468</v>
      </c>
      <c r="E10" s="88"/>
    </row>
    <row r="11" spans="1:7">
      <c r="A11" t="s">
        <v>331</v>
      </c>
      <c r="B11" s="91">
        <f>B9*$B$7-B10+Inputs!$D$25</f>
        <v>10358.052388092616</v>
      </c>
      <c r="C11" s="91">
        <f>C9*$C$7-C10+Inputs!$D$25</f>
        <v>2634.0300694604812</v>
      </c>
    </row>
    <row r="12" spans="1:7">
      <c r="A12" t="s">
        <v>320</v>
      </c>
      <c r="B12" s="94">
        <f>B11/Transaction!$F$17</f>
        <v>2.3495381061436822</v>
      </c>
      <c r="C12" s="94">
        <f>C11/Transaction!$F$17</f>
        <v>0.59748240200446789</v>
      </c>
    </row>
    <row r="13" spans="1:7">
      <c r="A13" t="s">
        <v>321</v>
      </c>
      <c r="B13" s="89">
        <f>B12^(1/Inputs!$D$36)-1</f>
        <v>0.1863053762848037</v>
      </c>
      <c r="C13" s="89">
        <f>C12^(1/Inputs!$D$36)-1</f>
        <v>-9.7878520152342885E-2</v>
      </c>
    </row>
    <row r="14" spans="1:7">
      <c r="A14" t="s">
        <v>94</v>
      </c>
      <c r="B14" s="92">
        <f>MIN(B44:F44)</f>
        <v>1.2469799574287579</v>
      </c>
      <c r="C14" s="92">
        <f>MIN(I44:M44)</f>
        <v>1.0557345754618539</v>
      </c>
    </row>
    <row r="18" spans="1:15" ht="21" customHeight="1">
      <c r="A18" s="86" t="s">
        <v>360</v>
      </c>
      <c r="B18" s="87"/>
      <c r="C18" s="87"/>
      <c r="D18" s="87"/>
      <c r="E18" s="87"/>
      <c r="F18" s="87"/>
      <c r="H18" s="86" t="s">
        <v>361</v>
      </c>
      <c r="I18" s="86"/>
      <c r="J18" s="86"/>
      <c r="K18" s="86"/>
      <c r="L18" s="86"/>
      <c r="M18" s="86"/>
    </row>
    <row r="20" spans="1:15">
      <c r="A20" s="84" t="s">
        <v>130</v>
      </c>
      <c r="B20" s="84" t="s">
        <v>248</v>
      </c>
      <c r="C20" s="84" t="s">
        <v>249</v>
      </c>
      <c r="D20" s="84" t="s">
        <v>250</v>
      </c>
      <c r="E20" s="84" t="s">
        <v>251</v>
      </c>
      <c r="F20" s="84" t="s">
        <v>252</v>
      </c>
      <c r="H20" s="84" t="s">
        <v>130</v>
      </c>
      <c r="I20" s="84" t="s">
        <v>248</v>
      </c>
      <c r="J20" s="84" t="s">
        <v>249</v>
      </c>
      <c r="K20" s="84" t="s">
        <v>250</v>
      </c>
      <c r="L20" s="84" t="s">
        <v>251</v>
      </c>
      <c r="M20" s="84" t="s">
        <v>252</v>
      </c>
    </row>
    <row r="21" spans="1:15">
      <c r="A21" t="s">
        <v>135</v>
      </c>
      <c r="B21" s="91">
        <f>'Operating Model'!$B$7*(1+$B$5)</f>
        <v>5385.0373500000005</v>
      </c>
      <c r="C21" s="91">
        <f>B21*(1+$B$5)</f>
        <v>5654.2892175000006</v>
      </c>
      <c r="D21" s="91">
        <f t="shared" ref="D21:F21" si="0">C21*(1+$B$5)</f>
        <v>5937.0036783750011</v>
      </c>
      <c r="E21" s="91">
        <f t="shared" si="0"/>
        <v>6233.8538622937513</v>
      </c>
      <c r="F21" s="91">
        <f t="shared" si="0"/>
        <v>6545.5465554084394</v>
      </c>
      <c r="H21" t="s">
        <v>135</v>
      </c>
      <c r="I21" s="91">
        <f>'Operating Model'!$B$7*(1+$C$5)</f>
        <v>5231.1791400000002</v>
      </c>
      <c r="J21" s="91">
        <f>I21*(1+$C$5)</f>
        <v>5335.8027228000001</v>
      </c>
      <c r="K21" s="91">
        <f t="shared" ref="K21:M21" si="1">J21*(1+$C$5)</f>
        <v>5442.5187772560002</v>
      </c>
      <c r="L21" s="91">
        <f t="shared" si="1"/>
        <v>5551.3691528011204</v>
      </c>
      <c r="M21" s="91">
        <f t="shared" si="1"/>
        <v>5662.3965358571431</v>
      </c>
    </row>
    <row r="22" spans="1:15">
      <c r="A22" t="s">
        <v>144</v>
      </c>
      <c r="B22" s="91">
        <f>B21*$B$6</f>
        <v>2800.2194220000006</v>
      </c>
      <c r="C22" s="91">
        <f t="shared" ref="C22:F22" si="2">C21*$B$6</f>
        <v>2940.2303931000006</v>
      </c>
      <c r="D22" s="91">
        <f t="shared" si="2"/>
        <v>3087.2419127550006</v>
      </c>
      <c r="E22" s="91">
        <f t="shared" si="2"/>
        <v>3241.604008392751</v>
      </c>
      <c r="F22" s="91">
        <f t="shared" si="2"/>
        <v>3403.6842088123885</v>
      </c>
      <c r="H22" t="s">
        <v>144</v>
      </c>
      <c r="I22" s="91">
        <f>I21*$C$6</f>
        <v>2510.9659872000002</v>
      </c>
      <c r="J22" s="91">
        <f t="shared" ref="J22:M22" si="3">J21*$C$6</f>
        <v>2561.1853069439999</v>
      </c>
      <c r="K22" s="91">
        <f t="shared" si="3"/>
        <v>2612.4090130828799</v>
      </c>
      <c r="L22" s="91">
        <f t="shared" si="3"/>
        <v>2664.6571933445375</v>
      </c>
      <c r="M22" s="91">
        <f t="shared" si="3"/>
        <v>2717.9503372114286</v>
      </c>
    </row>
    <row r="23" spans="1:15">
      <c r="A23" t="s">
        <v>253</v>
      </c>
      <c r="B23" s="91">
        <f>B21*Inputs!$D$15</f>
        <v>1453.9600845000002</v>
      </c>
      <c r="C23" s="91">
        <f>C21*Inputs!$D$15</f>
        <v>1526.6580887250002</v>
      </c>
      <c r="D23" s="91">
        <f>D21*Inputs!$D$15</f>
        <v>1602.9909931612503</v>
      </c>
      <c r="E23" s="91">
        <f>E21*Inputs!$D$15</f>
        <v>1683.1405428193129</v>
      </c>
      <c r="F23" s="91">
        <f>F21*Inputs!$D$15</f>
        <v>1767.2975699602787</v>
      </c>
      <c r="H23" t="s">
        <v>253</v>
      </c>
      <c r="I23" s="91">
        <f>I21*Inputs!$D$15</f>
        <v>1412.4183678000002</v>
      </c>
      <c r="J23" s="91">
        <f>J21*Inputs!$D$15</f>
        <v>1440.6667351560002</v>
      </c>
      <c r="K23" s="91">
        <f>K21*Inputs!$D$15</f>
        <v>1469.4800698591202</v>
      </c>
      <c r="L23" s="91">
        <f>L21*Inputs!$D$15</f>
        <v>1498.8696712563026</v>
      </c>
      <c r="M23" s="91">
        <f>M21*Inputs!$D$15</f>
        <v>1528.8470646814287</v>
      </c>
      <c r="O23" s="88"/>
    </row>
    <row r="24" spans="1:15">
      <c r="A24" t="s">
        <v>254</v>
      </c>
      <c r="B24" s="91">
        <f>B22-B23</f>
        <v>1346.2593375000004</v>
      </c>
      <c r="C24" s="91">
        <f t="shared" ref="C24:F24" si="4">C22-C23</f>
        <v>1413.5723043750004</v>
      </c>
      <c r="D24" s="91">
        <f t="shared" si="4"/>
        <v>1484.2509195937503</v>
      </c>
      <c r="E24" s="91">
        <f t="shared" si="4"/>
        <v>1558.463465573438</v>
      </c>
      <c r="F24" s="91">
        <f t="shared" si="4"/>
        <v>1636.3866388521099</v>
      </c>
      <c r="H24" t="s">
        <v>254</v>
      </c>
      <c r="I24" s="91">
        <f>I22-I23</f>
        <v>1098.5476194</v>
      </c>
      <c r="J24" s="91">
        <f t="shared" ref="J24:M24" si="5">J22-J23</f>
        <v>1120.5185717879997</v>
      </c>
      <c r="K24" s="91">
        <f t="shared" si="5"/>
        <v>1142.9289432237597</v>
      </c>
      <c r="L24" s="91">
        <f t="shared" si="5"/>
        <v>1165.7875220882349</v>
      </c>
      <c r="M24" s="91">
        <f t="shared" si="5"/>
        <v>1189.1032725299999</v>
      </c>
    </row>
    <row r="25" spans="1:15">
      <c r="A25" t="s">
        <v>51</v>
      </c>
      <c r="B25" s="89">
        <f>Inputs!$D$18</f>
        <v>0.27</v>
      </c>
      <c r="C25" s="89">
        <f>Inputs!$D$18</f>
        <v>0.27</v>
      </c>
      <c r="D25" s="89">
        <f>Inputs!$D$18</f>
        <v>0.27</v>
      </c>
      <c r="E25" s="89">
        <f>Inputs!$D$18</f>
        <v>0.27</v>
      </c>
      <c r="F25" s="89">
        <f>Inputs!$D$18</f>
        <v>0.27</v>
      </c>
      <c r="H25" t="s">
        <v>51</v>
      </c>
      <c r="I25" s="89">
        <f>Inputs!$D$18</f>
        <v>0.27</v>
      </c>
      <c r="J25" s="89">
        <f>Inputs!$D$18</f>
        <v>0.27</v>
      </c>
      <c r="K25" s="89">
        <f>Inputs!$D$18</f>
        <v>0.27</v>
      </c>
      <c r="L25" s="89">
        <f>Inputs!$D$18</f>
        <v>0.27</v>
      </c>
      <c r="M25" s="89">
        <f>Inputs!$D$18</f>
        <v>0.27</v>
      </c>
    </row>
    <row r="26" spans="1:15">
      <c r="A26" t="s">
        <v>256</v>
      </c>
      <c r="B26" s="91">
        <f>B24*(1-B25)</f>
        <v>982.76931637500024</v>
      </c>
      <c r="C26" s="91">
        <f t="shared" ref="C26:F26" si="6">C24*(1-C25)</f>
        <v>1031.9077821937503</v>
      </c>
      <c r="D26" s="91">
        <f t="shared" si="6"/>
        <v>1083.5031713034377</v>
      </c>
      <c r="E26" s="91">
        <f t="shared" si="6"/>
        <v>1137.6783298686098</v>
      </c>
      <c r="F26" s="91">
        <f t="shared" si="6"/>
        <v>1194.5622463620402</v>
      </c>
      <c r="H26" t="s">
        <v>256</v>
      </c>
      <c r="I26" s="91">
        <f>I24*(1-I25)</f>
        <v>801.93976216199997</v>
      </c>
      <c r="J26" s="91">
        <f t="shared" ref="J26:M26" si="7">J24*(1-J25)</f>
        <v>817.97855740523971</v>
      </c>
      <c r="K26" s="91">
        <f t="shared" si="7"/>
        <v>834.33812855334452</v>
      </c>
      <c r="L26" s="91">
        <f t="shared" si="7"/>
        <v>851.02489112441151</v>
      </c>
      <c r="M26" s="91">
        <f t="shared" si="7"/>
        <v>868.04538894689995</v>
      </c>
    </row>
    <row r="27" spans="1:15">
      <c r="A27" t="s">
        <v>362</v>
      </c>
      <c r="B27" s="91">
        <f>B21*Inputs!$D$16</f>
        <v>646.20448199999998</v>
      </c>
      <c r="C27" s="91">
        <f>C21*Inputs!$D$16</f>
        <v>678.51470610000001</v>
      </c>
      <c r="D27" s="91">
        <f>D21*Inputs!$D$16</f>
        <v>712.44044140500012</v>
      </c>
      <c r="E27" s="91">
        <f>E21*Inputs!$D$16</f>
        <v>748.06246347525007</v>
      </c>
      <c r="F27" s="91">
        <f>F21*Inputs!$D$16</f>
        <v>785.46558664901272</v>
      </c>
      <c r="H27" t="s">
        <v>362</v>
      </c>
      <c r="I27" s="91">
        <f>I21*Inputs!$D$16</f>
        <v>627.74149680000005</v>
      </c>
      <c r="J27" s="91">
        <f>J21*Inputs!$D$16</f>
        <v>640.29632673599997</v>
      </c>
      <c r="K27" s="91">
        <f>K21*Inputs!$D$16</f>
        <v>653.10225327071998</v>
      </c>
      <c r="L27" s="91">
        <f>L21*Inputs!$D$16</f>
        <v>666.16429833613438</v>
      </c>
      <c r="M27" s="91">
        <f>M21*Inputs!$D$16</f>
        <v>679.48758430285716</v>
      </c>
    </row>
    <row r="28" spans="1:15">
      <c r="A28" t="s">
        <v>363</v>
      </c>
      <c r="B28" s="91">
        <f>B21*Inputs!$D$17</f>
        <v>503.69235000000003</v>
      </c>
      <c r="C28" s="91">
        <f>C21*Inputs!$D$17</f>
        <v>528.87696750000009</v>
      </c>
      <c r="D28" s="91">
        <f>D21*Inputs!$D$17</f>
        <v>555.32081587500011</v>
      </c>
      <c r="E28" s="91">
        <f>E21*Inputs!$D$17</f>
        <v>583.0868566687501</v>
      </c>
      <c r="F28" s="91">
        <f>F21*Inputs!$D$17</f>
        <v>612.24119950218767</v>
      </c>
      <c r="H28" t="s">
        <v>363</v>
      </c>
      <c r="I28" s="91">
        <f>I21*Inputs!$D$17</f>
        <v>489.30114000000003</v>
      </c>
      <c r="J28" s="91">
        <f>J21*Inputs!$D$17</f>
        <v>499.08716279999999</v>
      </c>
      <c r="K28" s="91">
        <f>K21*Inputs!$D$17</f>
        <v>509.068906056</v>
      </c>
      <c r="L28" s="91">
        <f>L21*Inputs!$D$17</f>
        <v>519.25028417712008</v>
      </c>
      <c r="M28" s="91">
        <f>M21*Inputs!$D$17</f>
        <v>529.63528986066251</v>
      </c>
    </row>
    <row r="29" spans="1:15">
      <c r="A29" t="s">
        <v>364</v>
      </c>
      <c r="B29" s="91">
        <f>B28-'Operating Model'!$B$20</f>
        <v>23.985350000000039</v>
      </c>
      <c r="C29" s="91">
        <f>C28-B28</f>
        <v>25.184617500000058</v>
      </c>
      <c r="D29" s="91">
        <f t="shared" ref="D29:F29" si="8">D28-C28</f>
        <v>26.443848375000016</v>
      </c>
      <c r="E29" s="91">
        <f t="shared" si="8"/>
        <v>27.766040793749994</v>
      </c>
      <c r="F29" s="91">
        <f t="shared" si="8"/>
        <v>29.154342833437568</v>
      </c>
      <c r="H29" t="s">
        <v>364</v>
      </c>
      <c r="I29" s="91">
        <f>I28-'Operating Model'!$B$20</f>
        <v>9.5941400000000385</v>
      </c>
      <c r="J29" s="91">
        <f>J28-I28</f>
        <v>9.7860227999999552</v>
      </c>
      <c r="K29" s="91">
        <f t="shared" ref="K29:M29" si="9">K28-J28</f>
        <v>9.9817432560000157</v>
      </c>
      <c r="L29" s="91">
        <f t="shared" si="9"/>
        <v>10.181378121120076</v>
      </c>
      <c r="M29" s="91">
        <f t="shared" si="9"/>
        <v>10.385005683542431</v>
      </c>
    </row>
    <row r="30" spans="1:15">
      <c r="A30" t="s">
        <v>259</v>
      </c>
      <c r="B30" s="91">
        <f>B26+B23-B27-B29-B49+B54</f>
        <v>865.54611887500027</v>
      </c>
      <c r="C30" s="91">
        <f>C26+C23-C27-C29-C49+C54</f>
        <v>908.82342481875048</v>
      </c>
      <c r="D30" s="91">
        <f>D26+D23-D27-D29-D49+D54</f>
        <v>954.26459605968773</v>
      </c>
      <c r="E30" s="91">
        <f>E26+E23-E27-E29-E49+E54</f>
        <v>1001.9778258626719</v>
      </c>
      <c r="F30" s="91">
        <f>F26+F23-F27-F29-F49+F54</f>
        <v>1052.0767171558055</v>
      </c>
      <c r="H30" t="s">
        <v>259</v>
      </c>
      <c r="I30" s="91">
        <f>I26+I23-I27-I29-I49+I54</f>
        <v>701.77171316200008</v>
      </c>
      <c r="J30" s="91">
        <f>J26+J23-J27-J29-J49+J54</f>
        <v>715.8071474252398</v>
      </c>
      <c r="K30" s="91">
        <f>K26+K23-K27-K29-K49+K54</f>
        <v>730.12329037374479</v>
      </c>
      <c r="L30" s="91">
        <f>L26+L23-L27-L29-L49+L54</f>
        <v>744.72575618121937</v>
      </c>
      <c r="M30" s="91">
        <f>M26+M23-M27-M29-M49+M54</f>
        <v>759.6202713048441</v>
      </c>
    </row>
    <row r="31" spans="1:15">
      <c r="I31" s="90"/>
    </row>
    <row r="33" spans="1:13">
      <c r="A33" s="99" t="s">
        <v>365</v>
      </c>
      <c r="B33" s="99"/>
      <c r="C33" s="99"/>
      <c r="D33" s="99"/>
      <c r="E33" s="99"/>
      <c r="F33" s="99"/>
      <c r="H33" s="99" t="s">
        <v>365</v>
      </c>
      <c r="I33" s="99"/>
      <c r="J33" s="99"/>
      <c r="K33" s="99"/>
      <c r="L33" s="99"/>
      <c r="M33" s="99"/>
    </row>
    <row r="34" spans="1:13">
      <c r="A34" s="84" t="s">
        <v>130</v>
      </c>
      <c r="B34" s="84" t="s">
        <v>248</v>
      </c>
      <c r="C34" s="84" t="s">
        <v>249</v>
      </c>
      <c r="D34" s="84" t="s">
        <v>250</v>
      </c>
      <c r="E34" s="84" t="s">
        <v>251</v>
      </c>
      <c r="F34" s="84" t="s">
        <v>252</v>
      </c>
      <c r="H34" s="84" t="s">
        <v>130</v>
      </c>
      <c r="I34" s="84" t="s">
        <v>248</v>
      </c>
      <c r="J34" s="84" t="s">
        <v>249</v>
      </c>
      <c r="K34" s="84" t="s">
        <v>250</v>
      </c>
      <c r="L34" s="84" t="s">
        <v>251</v>
      </c>
      <c r="M34" s="84" t="s">
        <v>252</v>
      </c>
    </row>
    <row r="35" spans="1:13">
      <c r="A35" t="s">
        <v>296</v>
      </c>
      <c r="B35" s="91">
        <f>Transaction!$F$15</f>
        <v>10704.468000000001</v>
      </c>
      <c r="C35" s="91">
        <f>B43</f>
        <v>10385.920195925</v>
      </c>
      <c r="D35" s="91">
        <f t="shared" ref="D35:F35" si="10">C43</f>
        <v>10007.817293118016</v>
      </c>
      <c r="E35" s="91">
        <f t="shared" si="10"/>
        <v>9564.9521607366587</v>
      </c>
      <c r="F35" s="91">
        <f t="shared" si="10"/>
        <v>9051.7433902876292</v>
      </c>
      <c r="H35" t="s">
        <v>296</v>
      </c>
      <c r="I35" s="91">
        <f>Transaction!$F$15</f>
        <v>10704.468000000001</v>
      </c>
      <c r="J35" s="91">
        <f>I43</f>
        <v>10549.694601638001</v>
      </c>
      <c r="K35" s="91">
        <f t="shared" ref="K35:M35" si="11">J43</f>
        <v>10372.976848356462</v>
      </c>
      <c r="L35" s="91">
        <f t="shared" si="11"/>
        <v>10172.912674933732</v>
      </c>
      <c r="M35" s="91">
        <f t="shared" si="11"/>
        <v>9948.0227564416255</v>
      </c>
    </row>
    <row r="36" spans="1:13">
      <c r="A36" t="s">
        <v>297</v>
      </c>
      <c r="B36" s="89">
        <f>Inputs!$D$29</f>
        <v>7.0000000000000007E-2</v>
      </c>
      <c r="C36" s="89">
        <f>Inputs!$D$29</f>
        <v>7.0000000000000007E-2</v>
      </c>
      <c r="D36" s="89">
        <f>Inputs!$D$29</f>
        <v>7.0000000000000007E-2</v>
      </c>
      <c r="E36" s="89">
        <f>Inputs!$D$29</f>
        <v>7.0000000000000007E-2</v>
      </c>
      <c r="F36" s="89">
        <f>Inputs!$D$29</f>
        <v>7.0000000000000007E-2</v>
      </c>
      <c r="H36" t="s">
        <v>297</v>
      </c>
      <c r="I36" s="89">
        <f>Inputs!$D$29</f>
        <v>7.0000000000000007E-2</v>
      </c>
      <c r="J36" s="89">
        <f>Inputs!$D$29</f>
        <v>7.0000000000000007E-2</v>
      </c>
      <c r="K36" s="89">
        <f>Inputs!$D$29</f>
        <v>7.0000000000000007E-2</v>
      </c>
      <c r="L36" s="89">
        <f>Inputs!$D$29</f>
        <v>7.0000000000000007E-2</v>
      </c>
      <c r="M36" s="89">
        <f>Inputs!$D$29</f>
        <v>7.0000000000000007E-2</v>
      </c>
    </row>
    <row r="37" spans="1:13">
      <c r="A37" t="s">
        <v>298</v>
      </c>
      <c r="B37" s="91">
        <f>B35*B36</f>
        <v>749.31276000000014</v>
      </c>
      <c r="C37" s="91">
        <f t="shared" ref="C37:F37" si="12">C35*C36</f>
        <v>727.01441371475005</v>
      </c>
      <c r="D37" s="91">
        <f t="shared" si="12"/>
        <v>700.54721051826118</v>
      </c>
      <c r="E37" s="91">
        <f t="shared" si="12"/>
        <v>669.54665125156612</v>
      </c>
      <c r="F37" s="91">
        <f t="shared" si="12"/>
        <v>633.62203732013415</v>
      </c>
      <c r="H37" t="s">
        <v>298</v>
      </c>
      <c r="I37" s="91">
        <f>I35*I36</f>
        <v>749.31276000000014</v>
      </c>
      <c r="J37" s="91">
        <f t="shared" ref="J37:M37" si="13">J35*J36</f>
        <v>738.47862211466008</v>
      </c>
      <c r="K37" s="91">
        <f t="shared" si="13"/>
        <v>726.1083793849524</v>
      </c>
      <c r="L37" s="91">
        <f t="shared" si="13"/>
        <v>712.10388724536131</v>
      </c>
      <c r="M37" s="91">
        <f t="shared" si="13"/>
        <v>696.36159295091386</v>
      </c>
    </row>
    <row r="38" spans="1:13">
      <c r="A38" t="s">
        <v>299</v>
      </c>
      <c r="B38" s="91">
        <f>B30-B37*(1-B25)</f>
        <v>318.54780407500016</v>
      </c>
      <c r="C38" s="91">
        <f t="shared" ref="C38:F38" si="14">C30-C37*(1-C25)</f>
        <v>378.10290280698291</v>
      </c>
      <c r="D38" s="91">
        <f t="shared" si="14"/>
        <v>442.86513238135706</v>
      </c>
      <c r="E38" s="91">
        <f t="shared" si="14"/>
        <v>513.20877044902863</v>
      </c>
      <c r="F38" s="91">
        <f t="shared" si="14"/>
        <v>589.5326299121075</v>
      </c>
      <c r="H38" t="s">
        <v>299</v>
      </c>
      <c r="I38" s="91">
        <f>I30-I37*(1-I25)</f>
        <v>154.77339836199997</v>
      </c>
      <c r="J38" s="91">
        <f t="shared" ref="J38:M38" si="15">J30-J37*(1-J25)</f>
        <v>176.71775328153797</v>
      </c>
      <c r="K38" s="91">
        <f t="shared" si="15"/>
        <v>200.0641734227296</v>
      </c>
      <c r="L38" s="91">
        <f t="shared" si="15"/>
        <v>224.88991849210561</v>
      </c>
      <c r="M38" s="91">
        <f t="shared" si="15"/>
        <v>251.27630845067699</v>
      </c>
    </row>
    <row r="39" spans="1:13">
      <c r="A39" t="s">
        <v>300</v>
      </c>
      <c r="B39" s="91">
        <f>MIN(B35,Transaction!$F$15*Inputs!$D$30)</f>
        <v>107.04468000000001</v>
      </c>
      <c r="C39" s="91">
        <f>MIN(C35,Transaction!$F$15*Inputs!$D$30)</f>
        <v>107.04468000000001</v>
      </c>
      <c r="D39" s="91">
        <f>MIN(D35,Transaction!$F$15*Inputs!$D$30)</f>
        <v>107.04468000000001</v>
      </c>
      <c r="E39" s="91">
        <f>MIN(E35,Transaction!$F$15*Inputs!$D$30)</f>
        <v>107.04468000000001</v>
      </c>
      <c r="F39" s="91">
        <f>MIN(F35,Transaction!$F$15*Inputs!$D$30)</f>
        <v>107.04468000000001</v>
      </c>
      <c r="H39" t="s">
        <v>300</v>
      </c>
      <c r="I39" s="91">
        <f>MIN(I35,Transaction!$F$15*Inputs!$D$30)</f>
        <v>107.04468000000001</v>
      </c>
      <c r="J39" s="91">
        <f>MIN(J35,Transaction!$F$15*Inputs!$D$30)</f>
        <v>107.04468000000001</v>
      </c>
      <c r="K39" s="91">
        <f>MIN(K35,Transaction!$F$15*Inputs!$D$30)</f>
        <v>107.04468000000001</v>
      </c>
      <c r="L39" s="91">
        <f>MIN(L35,Transaction!$F$15*Inputs!$D$30)</f>
        <v>107.04468000000001</v>
      </c>
      <c r="M39" s="91">
        <f>MIN(M35,Transaction!$F$15*Inputs!$D$30)</f>
        <v>107.04468000000001</v>
      </c>
    </row>
    <row r="40" spans="1:13">
      <c r="A40" t="s">
        <v>301</v>
      </c>
      <c r="B40" s="91">
        <f>MAX(0,B38-B39)</f>
        <v>211.50312407500013</v>
      </c>
      <c r="C40" s="91">
        <f t="shared" ref="C40:F40" si="16">MAX(0,C38-C39)</f>
        <v>271.05822280698288</v>
      </c>
      <c r="D40" s="91">
        <f t="shared" si="16"/>
        <v>335.82045238135703</v>
      </c>
      <c r="E40" s="91">
        <f t="shared" si="16"/>
        <v>406.16409044902861</v>
      </c>
      <c r="F40" s="91">
        <f t="shared" si="16"/>
        <v>482.48794991210747</v>
      </c>
      <c r="H40" t="s">
        <v>301</v>
      </c>
      <c r="I40" s="91">
        <f>MAX(0,I38-I39)</f>
        <v>47.728718361999952</v>
      </c>
      <c r="J40" s="91">
        <f t="shared" ref="J40:M40" si="17">MAX(0,J38-J39)</f>
        <v>69.673073281537953</v>
      </c>
      <c r="K40" s="91">
        <f t="shared" si="17"/>
        <v>93.019493422729582</v>
      </c>
      <c r="L40" s="91">
        <f t="shared" si="17"/>
        <v>117.84523849210559</v>
      </c>
      <c r="M40" s="91">
        <f t="shared" si="17"/>
        <v>144.23162845067696</v>
      </c>
    </row>
    <row r="41" spans="1:13">
      <c r="A41" t="s">
        <v>302</v>
      </c>
      <c r="B41" s="89">
        <f>Inputs!$D$31</f>
        <v>1</v>
      </c>
      <c r="C41" s="89">
        <f>Inputs!$D$31</f>
        <v>1</v>
      </c>
      <c r="D41" s="89">
        <f>Inputs!$D$31</f>
        <v>1</v>
      </c>
      <c r="E41" s="89">
        <f>Inputs!$D$31</f>
        <v>1</v>
      </c>
      <c r="F41" s="89">
        <f>Inputs!$D$31</f>
        <v>1</v>
      </c>
      <c r="H41" t="s">
        <v>302</v>
      </c>
      <c r="I41" s="89">
        <f>Inputs!$D$31</f>
        <v>1</v>
      </c>
      <c r="J41" s="89">
        <f>Inputs!$D$31</f>
        <v>1</v>
      </c>
      <c r="K41" s="89">
        <f>Inputs!$D$31</f>
        <v>1</v>
      </c>
      <c r="L41" s="89">
        <f>Inputs!$D$31</f>
        <v>1</v>
      </c>
      <c r="M41" s="89">
        <f>Inputs!$D$31</f>
        <v>1</v>
      </c>
    </row>
    <row r="42" spans="1:13">
      <c r="A42" t="s">
        <v>303</v>
      </c>
      <c r="B42" s="91">
        <f>MIN(MAX(0,B35-B39),B40*B41)</f>
        <v>211.50312407500013</v>
      </c>
      <c r="C42" s="91">
        <f t="shared" ref="C42:F42" si="18">MIN(MAX(0,C35-C39),C40*C41)</f>
        <v>271.05822280698288</v>
      </c>
      <c r="D42" s="91">
        <f t="shared" si="18"/>
        <v>335.82045238135703</v>
      </c>
      <c r="E42" s="91">
        <f t="shared" si="18"/>
        <v>406.16409044902861</v>
      </c>
      <c r="F42" s="91">
        <f t="shared" si="18"/>
        <v>482.48794991210747</v>
      </c>
      <c r="H42" t="s">
        <v>303</v>
      </c>
      <c r="I42" s="91">
        <f>MIN(MAX(0,I35-I39),I40*I41)</f>
        <v>47.728718361999952</v>
      </c>
      <c r="J42" s="91">
        <f t="shared" ref="J42:M42" si="19">MIN(MAX(0,J35-J39),J40*J41)</f>
        <v>69.673073281537953</v>
      </c>
      <c r="K42" s="91">
        <f t="shared" si="19"/>
        <v>93.019493422729582</v>
      </c>
      <c r="L42" s="91">
        <f t="shared" si="19"/>
        <v>117.84523849210559</v>
      </c>
      <c r="M42" s="91">
        <f t="shared" si="19"/>
        <v>144.23162845067696</v>
      </c>
    </row>
    <row r="43" spans="1:13">
      <c r="A43" t="s">
        <v>304</v>
      </c>
      <c r="B43" s="91">
        <f>B35-B39-B42</f>
        <v>10385.920195925</v>
      </c>
      <c r="C43" s="91">
        <f t="shared" ref="C43:F43" si="20">C35-C39-C42</f>
        <v>10007.817293118016</v>
      </c>
      <c r="D43" s="91">
        <f t="shared" si="20"/>
        <v>9564.9521607366587</v>
      </c>
      <c r="E43" s="91">
        <f t="shared" si="20"/>
        <v>9051.7433902876292</v>
      </c>
      <c r="F43" s="91">
        <f t="shared" si="20"/>
        <v>8462.2107603755212</v>
      </c>
      <c r="H43" t="s">
        <v>304</v>
      </c>
      <c r="I43" s="91">
        <f>I35-I39-I42</f>
        <v>10549.694601638001</v>
      </c>
      <c r="J43" s="91">
        <f t="shared" ref="J43:M43" si="21">J35-J39-J42</f>
        <v>10372.976848356462</v>
      </c>
      <c r="K43" s="91">
        <f t="shared" si="21"/>
        <v>10172.912674933732</v>
      </c>
      <c r="L43" s="91">
        <f t="shared" si="21"/>
        <v>9948.0227564416255</v>
      </c>
      <c r="M43" s="91">
        <f t="shared" si="21"/>
        <v>9696.7464479909468</v>
      </c>
    </row>
    <row r="44" spans="1:13">
      <c r="A44" t="s">
        <v>306</v>
      </c>
      <c r="B44" s="92">
        <f>(B38+B37)/(B37+B39)</f>
        <v>1.2469799574287579</v>
      </c>
      <c r="C44" s="92">
        <f t="shared" ref="C44:F44" si="22">(C38+C37)/(C37+C39)</f>
        <v>1.3249868322875518</v>
      </c>
      <c r="D44" s="92">
        <f t="shared" si="22"/>
        <v>1.4158294013649007</v>
      </c>
      <c r="E44" s="92">
        <f t="shared" si="22"/>
        <v>1.5230087873817091</v>
      </c>
      <c r="F44" s="92">
        <f t="shared" si="22"/>
        <v>1.6514238302185846</v>
      </c>
      <c r="H44" t="s">
        <v>306</v>
      </c>
      <c r="I44" s="92">
        <f>(I38+I37)/(I37+I39)</f>
        <v>1.0557345754618539</v>
      </c>
      <c r="J44" s="92">
        <f t="shared" ref="J44:M44" si="23">(J38+J37)/(J37+J39)</f>
        <v>1.0824023100336622</v>
      </c>
      <c r="K44" s="92">
        <f t="shared" si="23"/>
        <v>1.1116475446797234</v>
      </c>
      <c r="L44" s="92">
        <f t="shared" si="23"/>
        <v>1.1438630832113843</v>
      </c>
      <c r="M44" s="92">
        <f t="shared" si="23"/>
        <v>1.1795251460023006</v>
      </c>
    </row>
    <row r="45" spans="1:13">
      <c r="A45" t="s">
        <v>308</v>
      </c>
      <c r="B45" s="93">
        <f>B35-B39-B42-B43</f>
        <v>0</v>
      </c>
      <c r="C45" s="93">
        <f t="shared" ref="C45:F45" si="24">C35-C39-C42-C43</f>
        <v>0</v>
      </c>
      <c r="D45" s="93">
        <f t="shared" si="24"/>
        <v>0</v>
      </c>
      <c r="E45" s="93">
        <f t="shared" si="24"/>
        <v>0</v>
      </c>
      <c r="F45" s="93">
        <f t="shared" si="24"/>
        <v>0</v>
      </c>
      <c r="H45" t="s">
        <v>308</v>
      </c>
      <c r="I45" s="93">
        <f>I35-I39-I42-I43</f>
        <v>0</v>
      </c>
      <c r="J45" s="93">
        <f t="shared" ref="J45:M45" si="25">J35-J39-J42-J43</f>
        <v>0</v>
      </c>
      <c r="K45" s="93">
        <f t="shared" si="25"/>
        <v>0</v>
      </c>
      <c r="L45" s="93">
        <f t="shared" si="25"/>
        <v>0</v>
      </c>
      <c r="M45" s="93">
        <f t="shared" si="25"/>
        <v>0</v>
      </c>
    </row>
    <row r="47" spans="1:13">
      <c r="A47" s="99" t="s">
        <v>366</v>
      </c>
      <c r="B47" s="100"/>
      <c r="C47" s="100"/>
      <c r="D47" s="100"/>
      <c r="E47" s="100"/>
      <c r="F47" s="100"/>
      <c r="H47" s="99" t="s">
        <v>366</v>
      </c>
      <c r="I47" s="100"/>
      <c r="J47" s="100"/>
      <c r="K47" s="100"/>
      <c r="L47" s="100"/>
      <c r="M47" s="100"/>
    </row>
    <row r="48" spans="1:13">
      <c r="A48" s="85"/>
      <c r="B48" s="84" t="str">
        <f>B20</f>
        <v>2026E</v>
      </c>
      <c r="C48" s="84" t="str">
        <f>C20</f>
        <v>2027E</v>
      </c>
      <c r="D48" s="84" t="str">
        <f>D20</f>
        <v>2028E</v>
      </c>
      <c r="E48" s="84" t="str">
        <f>E20</f>
        <v>2029E</v>
      </c>
      <c r="F48" s="84" t="str">
        <f>F20</f>
        <v>2030E</v>
      </c>
      <c r="H48" s="85"/>
      <c r="I48" s="84" t="str">
        <f>I20</f>
        <v>2026E</v>
      </c>
      <c r="J48" s="84" t="str">
        <f>J20</f>
        <v>2027E</v>
      </c>
      <c r="K48" s="84" t="str">
        <f>K20</f>
        <v>2028E</v>
      </c>
      <c r="L48" s="84" t="str">
        <f>L20</f>
        <v>2029E</v>
      </c>
      <c r="M48" s="84" t="str">
        <f>M20</f>
        <v>2030E</v>
      </c>
    </row>
    <row r="49" spans="1:13">
      <c r="A49" t="s">
        <v>211</v>
      </c>
      <c r="B49" s="98">
        <f>B21*Inputs!$I$14</f>
        <v>626.30714999999998</v>
      </c>
      <c r="C49" s="98">
        <f>C21*Inputs!$I$14</f>
        <v>657.62250749999998</v>
      </c>
      <c r="D49" s="98">
        <f>D21*Inputs!$I$14</f>
        <v>690.50363287499999</v>
      </c>
      <c r="E49" s="98">
        <f>E21*Inputs!$I$14</f>
        <v>725.0288145187501</v>
      </c>
      <c r="F49" s="98">
        <f>F21*Inputs!$I$14</f>
        <v>761.28025524468762</v>
      </c>
      <c r="H49" t="s">
        <v>211</v>
      </c>
      <c r="I49" s="98">
        <f>I21*Inputs!$I$14</f>
        <v>608.41265999999996</v>
      </c>
      <c r="J49" s="98">
        <f>J21*Inputs!$I$14</f>
        <v>620.58091319999994</v>
      </c>
      <c r="K49" s="98">
        <f>K21*Inputs!$I$14</f>
        <v>632.99253146399997</v>
      </c>
      <c r="L49" s="98">
        <f>L21*Inputs!$I$14</f>
        <v>645.65238209327993</v>
      </c>
      <c r="M49" s="98">
        <f>M21*Inputs!$I$14</f>
        <v>658.56542973514559</v>
      </c>
    </row>
    <row r="50" spans="1:13">
      <c r="A50" t="s">
        <v>261</v>
      </c>
      <c r="B50" s="98">
        <f>B21*Inputs!$I$15</f>
        <v>265.18065000000001</v>
      </c>
      <c r="C50" s="98">
        <f>C21*Inputs!$I$15</f>
        <v>278.43968250000006</v>
      </c>
      <c r="D50" s="98">
        <f>D21*Inputs!$I$15</f>
        <v>292.36166662500005</v>
      </c>
      <c r="E50" s="98">
        <f>E21*Inputs!$I$15</f>
        <v>306.97974995625009</v>
      </c>
      <c r="F50" s="98">
        <f>F21*Inputs!$I$15</f>
        <v>322.3287374540626</v>
      </c>
      <c r="H50" t="s">
        <v>261</v>
      </c>
      <c r="I50" s="98">
        <f>I21*Inputs!$I$15</f>
        <v>257.60406</v>
      </c>
      <c r="J50" s="98">
        <f>J21*Inputs!$I$15</f>
        <v>262.7561412</v>
      </c>
      <c r="K50" s="98">
        <f>K21*Inputs!$I$15</f>
        <v>268.01126402400001</v>
      </c>
      <c r="L50" s="98">
        <f>L21*Inputs!$I$15</f>
        <v>273.37148930448001</v>
      </c>
      <c r="M50" s="98">
        <f>M21*Inputs!$I$15</f>
        <v>278.83891909056962</v>
      </c>
    </row>
    <row r="51" spans="1:13">
      <c r="A51" t="s">
        <v>262</v>
      </c>
      <c r="B51" s="98">
        <f>B21*Inputs!$I$16</f>
        <v>376.33365000000003</v>
      </c>
      <c r="C51" s="98">
        <f>C21*Inputs!$I$16</f>
        <v>395.15033250000005</v>
      </c>
      <c r="D51" s="98">
        <f>D21*Inputs!$I$16</f>
        <v>414.90784912500004</v>
      </c>
      <c r="E51" s="98">
        <f>E21*Inputs!$I$16</f>
        <v>435.65324158125009</v>
      </c>
      <c r="F51" s="98">
        <f>F21*Inputs!$I$16</f>
        <v>457.43590366031259</v>
      </c>
      <c r="H51" t="s">
        <v>262</v>
      </c>
      <c r="I51" s="98">
        <f>I21*Inputs!$I$16</f>
        <v>365.58125999999999</v>
      </c>
      <c r="J51" s="98">
        <f>J21*Inputs!$I$16</f>
        <v>372.89288519999997</v>
      </c>
      <c r="K51" s="98">
        <f>K21*Inputs!$I$16</f>
        <v>380.35074290400001</v>
      </c>
      <c r="L51" s="98">
        <f>L21*Inputs!$I$16</f>
        <v>387.95775776208001</v>
      </c>
      <c r="M51" s="98">
        <f>M21*Inputs!$I$16</f>
        <v>395.71691291732162</v>
      </c>
    </row>
    <row r="52" spans="1:13">
      <c r="A52" t="s">
        <v>50</v>
      </c>
      <c r="B52" s="98">
        <f>B21*Inputs!$I$17</f>
        <v>399.55545000000006</v>
      </c>
      <c r="C52" s="98">
        <f>C21*Inputs!$I$17</f>
        <v>419.53322250000008</v>
      </c>
      <c r="D52" s="98">
        <f>D21*Inputs!$I$17</f>
        <v>440.5098836250001</v>
      </c>
      <c r="E52" s="98">
        <f>E21*Inputs!$I$17</f>
        <v>462.5353778062501</v>
      </c>
      <c r="F52" s="98">
        <f>F21*Inputs!$I$17</f>
        <v>485.66214669656267</v>
      </c>
      <c r="H52" t="s">
        <v>50</v>
      </c>
      <c r="I52" s="98">
        <f>I21*Inputs!$I$17</f>
        <v>388.13958000000002</v>
      </c>
      <c r="J52" s="98">
        <f>J21*Inputs!$I$17</f>
        <v>395.90237160000004</v>
      </c>
      <c r="K52" s="98">
        <f>K21*Inputs!$I$17</f>
        <v>403.82041903200002</v>
      </c>
      <c r="L52" s="98">
        <f>L21*Inputs!$I$17</f>
        <v>411.89682741264005</v>
      </c>
      <c r="M52" s="98">
        <f>M21*Inputs!$I$17</f>
        <v>420.13476396089288</v>
      </c>
    </row>
    <row r="53" spans="1:13">
      <c r="A53" t="s">
        <v>54</v>
      </c>
      <c r="B53" s="98">
        <f>B21*Inputs!$I$18</f>
        <v>236.02215000000001</v>
      </c>
      <c r="C53" s="98">
        <f>C21*Inputs!$I$18</f>
        <v>247.82325750000001</v>
      </c>
      <c r="D53" s="98">
        <f>D21*Inputs!$I$18</f>
        <v>260.21442037500003</v>
      </c>
      <c r="E53" s="98">
        <f>E21*Inputs!$I$18</f>
        <v>273.22514139375005</v>
      </c>
      <c r="F53" s="98">
        <f>F21*Inputs!$I$18</f>
        <v>286.88639846343756</v>
      </c>
      <c r="H53" t="s">
        <v>54</v>
      </c>
      <c r="I53" s="98">
        <f>I21*Inputs!$I$18</f>
        <v>229.27866</v>
      </c>
      <c r="J53" s="98">
        <f>J21*Inputs!$I$18</f>
        <v>233.8642332</v>
      </c>
      <c r="K53" s="98">
        <f>K21*Inputs!$I$18</f>
        <v>238.54151786400001</v>
      </c>
      <c r="L53" s="98">
        <f>L21*Inputs!$I$18</f>
        <v>243.31234822128002</v>
      </c>
      <c r="M53" s="98">
        <f>M21*Inputs!$I$18</f>
        <v>248.17859518570563</v>
      </c>
    </row>
    <row r="54" spans="1:13">
      <c r="A54" t="s">
        <v>367</v>
      </c>
      <c r="B54" s="96">
        <f>B50-B51-B52+B53</f>
        <v>-274.68630000000007</v>
      </c>
      <c r="C54" s="96">
        <f>C50-C51-C52+C53</f>
        <v>-288.42061500000005</v>
      </c>
      <c r="D54" s="96">
        <f>D50-D51-D52+D53</f>
        <v>-302.84164575000011</v>
      </c>
      <c r="E54" s="96">
        <f>E50-E51-E52+E53</f>
        <v>-317.9837280375001</v>
      </c>
      <c r="F54" s="96">
        <f>F50-F51-F52+F53</f>
        <v>-333.8829144393751</v>
      </c>
      <c r="H54" t="s">
        <v>367</v>
      </c>
      <c r="I54" s="96">
        <f>I50-I51-I52+I53</f>
        <v>-266.83812</v>
      </c>
      <c r="J54" s="96">
        <f>J50-J51-J52+J53</f>
        <v>-272.1748824</v>
      </c>
      <c r="K54" s="96">
        <f>K50-K51-K52+K53</f>
        <v>-277.61838004800001</v>
      </c>
      <c r="L54" s="96">
        <f>L50-L51-L52+L53</f>
        <v>-283.17074764896006</v>
      </c>
      <c r="M54" s="96">
        <f>M50-M51-M52+M53</f>
        <v>-288.83416260193928</v>
      </c>
    </row>
    <row r="56" spans="1:13">
      <c r="A56" t="s">
        <v>368</v>
      </c>
    </row>
    <row r="57" spans="1:13">
      <c r="A57" t="s">
        <v>369</v>
      </c>
    </row>
    <row r="60" spans="1:13">
      <c r="A60" t="s">
        <v>370</v>
      </c>
    </row>
    <row r="61" spans="1:13">
      <c r="A61" t="s">
        <v>371</v>
      </c>
      <c r="B61" t="s">
        <v>372</v>
      </c>
      <c r="C61" t="s">
        <v>373</v>
      </c>
      <c r="D61" t="s">
        <v>374</v>
      </c>
      <c r="E61" t="s">
        <v>375</v>
      </c>
    </row>
    <row r="62" spans="1:13">
      <c r="A62" t="s">
        <v>376</v>
      </c>
      <c r="B62" s="139">
        <f>I22</f>
        <v>2510.9659872000002</v>
      </c>
      <c r="C62">
        <f>0</f>
        <v>0</v>
      </c>
      <c r="D62">
        <f>0</f>
        <v>0</v>
      </c>
      <c r="E62" s="139">
        <f>B62</f>
        <v>2510.9659872000002</v>
      </c>
    </row>
    <row r="63" spans="1:13" ht="30.75">
      <c r="A63" s="140" t="s">
        <v>377</v>
      </c>
      <c r="B63" s="139">
        <f>-(I24-I37)*I25</f>
        <v>-94.293412037999971</v>
      </c>
      <c r="C63" s="139">
        <f>SUM($B$62:B63)</f>
        <v>2416.6725751620002</v>
      </c>
      <c r="D63" s="139">
        <f>-B63</f>
        <v>94.293412037999971</v>
      </c>
      <c r="E63">
        <f>0</f>
        <v>0</v>
      </c>
    </row>
    <row r="64" spans="1:13" ht="30.75">
      <c r="A64" s="140" t="s">
        <v>378</v>
      </c>
      <c r="B64" s="139">
        <f>-I27</f>
        <v>-627.74149680000005</v>
      </c>
      <c r="C64" s="139">
        <f>SUM($B$62:B64)</f>
        <v>1788.9310783620001</v>
      </c>
      <c r="D64" s="139">
        <f>-B64</f>
        <v>627.74149680000005</v>
      </c>
      <c r="E64">
        <f>0</f>
        <v>0</v>
      </c>
    </row>
    <row r="65" spans="1:5" ht="30.75">
      <c r="A65" s="140" t="s">
        <v>379</v>
      </c>
      <c r="B65" s="139">
        <f>-I49</f>
        <v>-608.41265999999996</v>
      </c>
      <c r="C65" s="139">
        <f>SUM($B$62:B65)</f>
        <v>1180.5184183620001</v>
      </c>
      <c r="D65" s="139">
        <f>-B65</f>
        <v>608.41265999999996</v>
      </c>
      <c r="E65">
        <f>0</f>
        <v>0</v>
      </c>
    </row>
    <row r="66" spans="1:5" ht="30.75">
      <c r="A66" s="140" t="s">
        <v>380</v>
      </c>
      <c r="B66" s="139">
        <f>I54</f>
        <v>-266.83812</v>
      </c>
      <c r="C66" s="139">
        <f>SUM($B$62:B66)</f>
        <v>913.68029836200014</v>
      </c>
      <c r="D66" s="139">
        <f>-B66</f>
        <v>266.83812</v>
      </c>
      <c r="E66">
        <f>0</f>
        <v>0</v>
      </c>
    </row>
    <row r="67" spans="1:5" ht="30.75">
      <c r="A67" s="140" t="s">
        <v>381</v>
      </c>
      <c r="B67" s="139">
        <f>-I29</f>
        <v>-9.5941400000000385</v>
      </c>
      <c r="C67" s="139">
        <f>SUM($B$62:B67)</f>
        <v>904.08615836200011</v>
      </c>
      <c r="D67" s="139">
        <f>-B67</f>
        <v>9.5941400000000385</v>
      </c>
      <c r="E67">
        <f>0</f>
        <v>0</v>
      </c>
    </row>
    <row r="68" spans="1:5" ht="30.75">
      <c r="A68" s="140" t="s">
        <v>382</v>
      </c>
      <c r="B68" s="139">
        <f>-I37</f>
        <v>-749.31276000000014</v>
      </c>
      <c r="C68" s="139">
        <f>SUM($B$62:B68)</f>
        <v>154.77339836199997</v>
      </c>
      <c r="D68" s="139">
        <f>-B68</f>
        <v>749.31276000000014</v>
      </c>
      <c r="E68">
        <f>0</f>
        <v>0</v>
      </c>
    </row>
    <row r="69" spans="1:5" ht="30.75">
      <c r="A69" s="140" t="s">
        <v>383</v>
      </c>
      <c r="B69" s="139">
        <f>I38</f>
        <v>154.77339836199997</v>
      </c>
      <c r="C69">
        <f>0</f>
        <v>0</v>
      </c>
      <c r="D69">
        <f>0</f>
        <v>0</v>
      </c>
      <c r="E69" s="139">
        <f>B69</f>
        <v>154.77339836199997</v>
      </c>
    </row>
    <row r="70" spans="1:5">
      <c r="A70" t="s">
        <v>384</v>
      </c>
      <c r="B70" s="93">
        <f>SUM(B62:B68)-B69</f>
        <v>0</v>
      </c>
    </row>
  </sheetData>
  <mergeCells count="1">
    <mergeCell ref="A2:G2"/>
  </mergeCells>
  <conditionalFormatting sqref="E10">
    <cfRule type="expression" dxfId="2" priority="3">
      <formula>AND(ISNUMBER(B21),B21&gt;0,B21&lt;1)</formula>
    </cfRule>
  </conditionalFormatting>
  <conditionalFormatting sqref="F9">
    <cfRule type="cellIs" dxfId="1" priority="2" operator="greaterThan">
      <formula>AND(ISNUMBER(G29),G29&gt;0,G29&lt;1)</formula>
    </cfRule>
  </conditionalFormatting>
  <conditionalFormatting sqref="A1">
    <cfRule type="cellIs" dxfId="0" priority="1" operator="between">
      <formula>0.001</formula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2026-09-25T00:30:11Z</dcterms:created>
  <dcterms:modified xsi:type="dcterms:W3CDTF">2026-10-02T19:53:13Z</dcterms:modified>
  <cp:category/>
  <cp:contentStatus/>
</cp:coreProperties>
</file>